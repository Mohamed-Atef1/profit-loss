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profit_and_los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1">
    <font>
      <sz val="11.0"/>
      <color indexed="8"/>
      <name val="Calibri"/>
      <family val="2"/>
      <scheme val="minor"/>
    </font>
    <font>
      <name val="timesnewroman"/>
      <sz val="11.0"/>
      <b val="true"/>
    </font>
    <font>
      <name val="timesnewroman"/>
      <sz val="11.0"/>
      <b val="true"/>
      <color rgb="FFFF0000"/>
    </font>
    <font>
      <name val="arial"/>
      <sz val="11.0"/>
      <color rgb="FFFFFFFF"/>
    </font>
    <font>
      <name val="arial"/>
      <sz val="12.0"/>
      <color rgb="FF000000"/>
      <b val="true"/>
      <i val="true"/>
    </font>
    <font>
      <name val="arial"/>
      <sz val="12.0"/>
      <color rgb="FF000000"/>
      <b val="true"/>
    </font>
    <font>
      <name val="arial"/>
      <sz val="16.0"/>
      <color rgb="FF000000"/>
      <b val="true"/>
    </font>
    <font>
      <name val="arial"/>
      <sz val="11.0"/>
      <color rgb="FF000000"/>
    </font>
    <font>
      <name val="arial"/>
      <sz val="11.0"/>
      <color rgb="FFFFFFFF"/>
      <b val="true"/>
    </font>
    <font>
      <name val="arial"/>
      <sz val="11.0"/>
      <color rgb="FF000000"/>
    </font>
    <font>
      <name val="arial"/>
      <sz val="11.0"/>
      <color rgb="FF31859C"/>
    </font>
  </fonts>
  <fills count="19">
    <fill>
      <patternFill patternType="none"/>
    </fill>
    <fill>
      <patternFill patternType="darkGray"/>
    </fill>
    <fill>
      <patternFill patternType="solid"/>
    </fill>
    <fill>
      <patternFill patternType="solid">
        <fgColor rgb="FFF5F5F5"/>
      </patternFill>
    </fill>
    <fill>
      <patternFill patternType="solid">
        <fgColor rgb="FFFF0000"/>
      </patternFill>
    </fill>
    <fill>
      <patternFill patternType="none">
        <fgColor rgb="FFF5F5F5"/>
      </patternFill>
    </fill>
    <fill>
      <patternFill patternType="none">
        <fgColor rgb="FF468847"/>
      </patternFill>
    </fill>
    <fill>
      <patternFill patternType="solid">
        <fgColor rgb="FF468847"/>
      </patternFill>
    </fill>
    <fill>
      <patternFill patternType="none">
        <fgColor rgb="FFFFFFFF"/>
      </patternFill>
    </fill>
    <fill>
      <patternFill patternType="solid">
        <fgColor rgb="FFFFFFFF"/>
      </patternFill>
    </fill>
    <fill>
      <patternFill patternType="none">
        <fgColor rgb="FFFFF6B5"/>
      </patternFill>
    </fill>
    <fill>
      <patternFill patternType="solid">
        <fgColor rgb="FFFFF6B5"/>
      </patternFill>
    </fill>
    <fill>
      <patternFill patternType="none">
        <fgColor rgb="FFEEEEEE"/>
      </patternFill>
    </fill>
    <fill>
      <patternFill patternType="solid">
        <fgColor rgb="FFEEEEEE"/>
      </patternFill>
    </fill>
    <fill>
      <patternFill patternType="none">
        <fgColor rgb="FFF7CBAF"/>
      </patternFill>
    </fill>
    <fill>
      <patternFill patternType="solid">
        <fgColor rgb="FFF7CBAF"/>
      </patternFill>
    </fill>
    <fill>
      <patternFill patternType="none">
        <fgColor rgb="FF1072BD"/>
      </patternFill>
    </fill>
    <fill>
      <patternFill patternType="solid">
        <fgColor rgb="FF1072BD"/>
      </patternFill>
    </fill>
    <fill>
      <patternFill patternType="none">
        <fgColor rgb="FFFF0000"/>
      </patternFill>
    </fill>
  </fills>
  <borders count="9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thin"/>
      <top style="thin"/>
      <bottom style="thin">
        <color rgb="FFD5D5D5"/>
      </bottom>
    </border>
    <border>
      <left style="thin"/>
      <right style="thin"/>
      <top style="thin">
        <color rgb="FFD5D5D5"/>
      </top>
      <bottom style="thin">
        <color rgb="FFD5D5D5"/>
      </bottom>
    </border>
    <border>
      <left style="thin">
        <color rgb="FFD5D5D5"/>
      </left>
      <right style="thin"/>
      <top style="thin">
        <color rgb="FFD5D5D5"/>
      </top>
      <bottom style="thin">
        <color rgb="FFD5D5D5"/>
      </bottom>
    </border>
    <border>
      <left style="thin">
        <color rgb="FFD5D5D5"/>
      </left>
      <right style="thin">
        <color rgb="FFD5D5D5"/>
      </right>
      <top style="thin">
        <color rgb="FFD5D5D5"/>
      </top>
      <bottom style="thin">
        <color rgb="FFD5D5D5"/>
      </bottom>
    </border>
  </borders>
  <cellStyleXfs count="1">
    <xf numFmtId="0" fontId="0" fillId="0" borderId="0"/>
  </cellStyleXfs>
  <cellXfs count="46">
    <xf numFmtId="0" fontId="0" fillId="0" borderId="0" xfId="0"/>
    <xf numFmtId="0" fontId="1" fillId="3" borderId="8" xfId="0" applyFont="true" applyFill="true" applyBorder="true"/>
    <xf numFmtId="0" fontId="1" fillId="0" borderId="0" xfId="0" applyFont="true"/>
    <xf numFmtId="0" fontId="1" fillId="4" borderId="0" xfId="0" applyFill="true" applyFont="true"/>
    <xf numFmtId="0" fontId="4" fillId="3" borderId="8" xfId="0" applyFont="true" applyFill="true" applyBorder="true" applyAlignment="true">
      <alignment horizontal="right" vertical="center"/>
    </xf>
    <xf numFmtId="0" fontId="5" fillId="3" borderId="8" xfId="0" applyFont="true" applyFill="true" applyBorder="true" applyAlignment="true">
      <alignment horizontal="right" vertical="bottom"/>
    </xf>
    <xf numFmtId="0" fontId="9" fillId="7" borderId="8" xfId="0" applyFont="true" applyFill="true" applyBorder="true" applyAlignment="true">
      <alignment horizontal="right" vertical="bottom"/>
    </xf>
    <xf numFmtId="0" fontId="9" fillId="9" borderId="8" xfId="0" applyFont="true" applyFill="true" applyBorder="true" applyAlignment="true">
      <alignment horizontal="left" vertical="bottom"/>
    </xf>
    <xf numFmtId="0" fontId="9" fillId="11" borderId="8" xfId="0" applyFont="true" applyFill="true" applyBorder="true" applyAlignment="true">
      <alignment horizontal="right" vertical="bottom"/>
    </xf>
    <xf numFmtId="0" fontId="9" fillId="9" borderId="8" xfId="0" applyFont="true" applyFill="true" applyBorder="true" applyAlignment="true">
      <alignment horizontal="center" vertical="bottom"/>
    </xf>
    <xf numFmtId="0" fontId="5" fillId="9" borderId="8" xfId="0" applyFont="true" applyFill="true" applyBorder="true" applyAlignment="true">
      <alignment horizontal="center" vertical="bottom"/>
    </xf>
    <xf numFmtId="0" fontId="9" fillId="9" borderId="8" xfId="0" applyFont="true" applyFill="true" applyBorder="true" applyAlignment="true">
      <alignment horizontal="right" vertical="bottom"/>
    </xf>
    <xf numFmtId="0" fontId="9" fillId="11" borderId="8" xfId="0" applyFont="true" applyFill="true" applyBorder="true" applyAlignment="true">
      <alignment horizontal="center" vertical="bottom"/>
    </xf>
    <xf numFmtId="0" fontId="7" fillId="13" borderId="8" xfId="0" applyFont="true" applyFill="true" applyBorder="true" applyAlignment="true">
      <alignment horizontal="center" vertical="center"/>
    </xf>
    <xf numFmtId="0" fontId="9" fillId="3" borderId="8" xfId="0" applyFont="true" applyFill="true" applyBorder="true" applyAlignment="true">
      <alignment horizontal="left" vertical="bottom"/>
    </xf>
    <xf numFmtId="0" fontId="5" fillId="3" borderId="8" xfId="0" applyFont="true" applyFill="true" applyBorder="true" applyAlignment="true">
      <alignment horizontal="left" vertical="bottom"/>
    </xf>
    <xf numFmtId="0" fontId="5" fillId="3" borderId="8" xfId="0" applyFont="true" applyFill="true" applyBorder="true" applyAlignment="true">
      <alignment horizontal="center" vertical="bottom"/>
    </xf>
    <xf numFmtId="0" fontId="9" fillId="15" borderId="8" xfId="0" applyFont="true" applyFill="true" applyBorder="true" applyAlignment="true">
      <alignment horizontal="right" vertical="bottom"/>
    </xf>
    <xf numFmtId="0" fontId="5" fillId="3" borderId="8" xfId="0" applyFont="true" applyFill="true" applyBorder="true" applyAlignment="true">
      <alignment horizontal="center" vertical="bottom"/>
    </xf>
    <xf numFmtId="0" fontId="9" fillId="11" borderId="8" xfId="0" applyFont="true" applyFill="true" applyBorder="true" applyAlignment="true">
      <alignment horizontal="left" vertical="bottom"/>
    </xf>
    <xf numFmtId="0" fontId="7" fillId="13" borderId="8" xfId="0" applyFont="true" applyFill="true" applyBorder="true" applyAlignment="true">
      <alignment horizontal="left" vertical="center"/>
    </xf>
    <xf numFmtId="0" fontId="8" fillId="17" borderId="8" xfId="0" applyFont="true" applyFill="true" applyBorder="true" applyAlignment="true">
      <alignment horizontal="right" vertical="bottom"/>
    </xf>
    <xf numFmtId="0" fontId="8" fillId="17" borderId="8" xfId="0" applyFont="true" applyFill="true" applyBorder="true" applyAlignment="true">
      <alignment horizontal="left" vertical="bottom"/>
    </xf>
    <xf numFmtId="0" fontId="7" fillId="13" borderId="8" xfId="0" applyFont="true" applyFill="true" applyBorder="true" applyAlignment="true">
      <alignment horizontal="right" vertical="center"/>
    </xf>
    <xf numFmtId="0" fontId="9" fillId="15" borderId="8" xfId="0" applyFont="true" applyFill="true" applyBorder="true" applyAlignment="true">
      <alignment horizontal="center" vertical="bottom"/>
    </xf>
    <xf numFmtId="0" fontId="9" fillId="3" borderId="8" xfId="0" applyFont="true" applyFill="true" applyBorder="true" applyAlignment="true">
      <alignment horizontal="left" vertical="bottom"/>
    </xf>
    <xf numFmtId="0" fontId="5" fillId="3" borderId="8" xfId="0" applyFont="true" applyFill="true" applyBorder="true" applyAlignment="true">
      <alignment horizontal="left" vertical="bottom"/>
    </xf>
    <xf numFmtId="0" fontId="9" fillId="4" borderId="8" xfId="0" applyFont="true" applyFill="true" applyBorder="true" applyAlignment="true">
      <alignment horizontal="right" vertical="bottom"/>
    </xf>
    <xf numFmtId="0" fontId="9" fillId="4" borderId="8" xfId="0" applyFont="true" applyFill="true" applyBorder="true" applyAlignment="true">
      <alignment horizontal="center" vertical="bottom"/>
    </xf>
    <xf numFmtId="0" fontId="9" fillId="15" borderId="8" xfId="0" applyFont="true" applyFill="true" applyBorder="true" applyAlignment="true">
      <alignment horizontal="left" vertical="bottom"/>
    </xf>
    <xf numFmtId="0" fontId="6" fillId="13" borderId="8" xfId="0" applyFont="true" applyFill="true" applyBorder="true" applyAlignment="true">
      <alignment horizontal="left" vertical="center"/>
    </xf>
    <xf numFmtId="0" fontId="5" fillId="9" borderId="8" xfId="0" applyFont="true" applyFill="true" applyBorder="true" applyAlignment="true">
      <alignment horizontal="left" vertical="bottom"/>
    </xf>
    <xf numFmtId="0" fontId="9" fillId="3" borderId="8" xfId="0" applyFont="true" applyFill="true" applyBorder="true" applyAlignment="true">
      <alignment horizontal="right" vertical="bottom"/>
    </xf>
    <xf numFmtId="0" fontId="4" fillId="3" borderId="8" xfId="0" applyFont="true" applyFill="true" applyBorder="true" applyAlignment="true">
      <alignment horizontal="left" vertical="center"/>
    </xf>
    <xf numFmtId="0" fontId="4" fillId="3" borderId="8" xfId="0" applyFont="true" applyFill="true" applyBorder="true" applyAlignment="true">
      <alignment horizontal="center" vertical="center"/>
    </xf>
    <xf numFmtId="0" fontId="9" fillId="7" borderId="8" xfId="0" applyFont="true" applyFill="true" applyBorder="true" applyAlignment="true">
      <alignment horizontal="left" vertical="bottom"/>
    </xf>
    <xf numFmtId="0" fontId="9" fillId="7" borderId="8" xfId="0" applyFont="true" applyFill="true" applyBorder="true" applyAlignment="true">
      <alignment horizontal="center" vertical="bottom"/>
    </xf>
    <xf numFmtId="0" fontId="9" fillId="3" borderId="8" xfId="0" applyFont="true" applyFill="true" applyBorder="true" applyAlignment="true">
      <alignment horizontal="center" vertical="bottom"/>
    </xf>
    <xf numFmtId="0" fontId="9" fillId="4" borderId="8" xfId="0" applyFont="true" applyFill="true" applyBorder="true" applyAlignment="true">
      <alignment horizontal="left" vertical="bottom"/>
    </xf>
    <xf numFmtId="0" fontId="6" fillId="13" borderId="8" xfId="0" applyFont="true" applyFill="true" applyBorder="true" applyAlignment="true">
      <alignment horizontal="right" vertical="center"/>
    </xf>
    <xf numFmtId="0" fontId="5" fillId="3" borderId="8" xfId="0" applyFont="true" applyFill="true" applyBorder="true" applyAlignment="true">
      <alignment horizontal="right" vertical="bottom"/>
    </xf>
    <xf numFmtId="0" fontId="5" fillId="9" borderId="8" xfId="0" applyFont="true" applyFill="true" applyBorder="true" applyAlignment="true">
      <alignment horizontal="right" vertical="bottom"/>
    </xf>
    <xf numFmtId="0" fontId="8" fillId="17" borderId="8" xfId="0" applyFont="true" applyFill="true" applyBorder="true" applyAlignment="true">
      <alignment horizontal="center" vertical="bottom"/>
    </xf>
    <xf numFmtId="0" fontId="9" fillId="3" borderId="8" xfId="0" applyFont="true" applyFill="true" applyBorder="true" applyAlignment="true">
      <alignment horizontal="right" vertical="bottom"/>
    </xf>
    <xf numFmtId="0" fontId="9" fillId="3" borderId="8" xfId="0" applyFont="true" applyFill="true" applyBorder="true" applyAlignment="true">
      <alignment horizontal="center" vertical="bottom"/>
    </xf>
    <xf numFmtId="0" fontId="6" fillId="13" borderId="8" xfId="0" applyFont="true" applyFill="true" applyBorder="true" applyAlignment="true">
      <alignment horizontal="center" vertic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Y182"/>
  <sheetViews>
    <sheetView workbookViewId="0" tabSelected="true"/>
  </sheetViews>
  <sheetFormatPr defaultRowHeight="15.0"/>
  <cols>
    <col min="1" max="1" width="39.0625" customWidth="true"/>
    <col min="2" max="2" width="39.0625" customWidth="true"/>
    <col min="3" max="3" width="39.0625" customWidth="true"/>
    <col min="4" max="4" width="39.0625" customWidth="true"/>
    <col min="5" max="5" width="39.0625" customWidth="true"/>
    <col min="6" max="6" width="39.0625" customWidth="true"/>
    <col min="7" max="7" width="39.0625" customWidth="true"/>
    <col min="8" max="8" width="39.0625" customWidth="true"/>
    <col min="9" max="9" width="39.0625" customWidth="true"/>
    <col min="10" max="10" width="39.0625" customWidth="true"/>
    <col min="11" max="11" width="39.0625" customWidth="true"/>
    <col min="12" max="12" width="39.0625" customWidth="true"/>
    <col min="13" max="13" width="39.0625" customWidth="true"/>
    <col min="14" max="14" width="39.0625" customWidth="true"/>
    <col min="15" max="15" width="39.0625" customWidth="true"/>
    <col min="16" max="16" width="39.0625" customWidth="true"/>
    <col min="17" max="17" width="39.0625" customWidth="true"/>
    <col min="18" max="18" width="39.0625" customWidth="true"/>
    <col min="19" max="19" width="39.0625" customWidth="true"/>
    <col min="20" max="20" width="39.0625" customWidth="true"/>
    <col min="21" max="21" width="39.0625" customWidth="true"/>
    <col min="22" max="22" width="39.0625" customWidth="true"/>
    <col min="23" max="23" width="39.0625" customWidth="true"/>
    <col min="24" max="24" width="39.0625" customWidth="true"/>
    <col min="25" max="25" width="39.0625" customWidth="true"/>
  </cols>
  <sheetData>
    <row r="1" customHeight="1" ht="70.0">
      <c r="A1" s="13" t="inlineStr">
        <is>
          <t>Takamull Trading Company
            Profit and Loss
            Basis: Accrual
                        From 01 Jan 2025 To 31 Dec 2025</t>
        </is>
      </c>
    </row>
    <row r="2">
      <c r="A2" s="44" t="inlineStr">
        <is>
          <t/>
        </is>
      </c>
      <c r="B2" s="44" t="inlineStr">
        <is>
          <t/>
        </is>
      </c>
      <c r="C2" t="inlineStr">
        <is>
          <t/>
        </is>
      </c>
      <c r="D2" s="44" t="inlineStr">
        <is>
          <t>Cost Center - Takamull</t>
        </is>
      </c>
      <c r="E2" s="44" t="inlineStr">
        <is>
          <t/>
        </is>
      </c>
      <c r="F2" s="44" t="inlineStr">
        <is>
          <t/>
        </is>
      </c>
      <c r="G2" s="44" t="inlineStr">
        <is>
          <t/>
        </is>
      </c>
      <c r="H2" s="44" t="inlineStr">
        <is>
          <t/>
        </is>
      </c>
      <c r="I2" s="44" t="inlineStr">
        <is>
          <t/>
        </is>
      </c>
      <c r="J2" s="44" t="inlineStr">
        <is>
          <t/>
        </is>
      </c>
      <c r="K2" s="44" t="inlineStr">
        <is>
          <t/>
        </is>
      </c>
      <c r="L2" s="44" t="inlineStr">
        <is>
          <t/>
        </is>
      </c>
      <c r="M2" s="44" t="inlineStr">
        <is>
          <t/>
        </is>
      </c>
      <c r="N2" s="44" t="inlineStr">
        <is>
          <t/>
        </is>
      </c>
      <c r="O2" s="44" t="inlineStr">
        <is>
          <t/>
        </is>
      </c>
      <c r="P2" s="44" t="inlineStr">
        <is>
          <t/>
        </is>
      </c>
      <c r="Q2" s="44" t="inlineStr">
        <is>
          <t/>
        </is>
      </c>
      <c r="R2" s="44" t="inlineStr">
        <is>
          <t/>
        </is>
      </c>
      <c r="S2" s="44" t="inlineStr">
        <is>
          <t/>
        </is>
      </c>
      <c r="T2" s="44" t="inlineStr">
        <is>
          <t/>
        </is>
      </c>
      <c r="U2" s="44" t="inlineStr">
        <is>
          <t/>
        </is>
      </c>
      <c r="V2" s="44" t="inlineStr">
        <is>
          <t/>
        </is>
      </c>
      <c r="W2" s="44" t="inlineStr">
        <is>
          <t/>
        </is>
      </c>
      <c r="X2" s="44" t="inlineStr">
        <is>
          <t/>
        </is>
      </c>
      <c r="Y2" s="44" t="inlineStr">
        <is>
          <t/>
        </is>
      </c>
    </row>
    <row r="3">
      <c r="A3" s="44" t="inlineStr">
        <is>
          <t/>
        </is>
      </c>
      <c r="B3" s="44" t="inlineStr">
        <is>
          <t/>
        </is>
      </c>
      <c r="C3" s="44" t="inlineStr">
        <is>
          <t/>
        </is>
      </c>
      <c r="D3" s="44" t="inlineStr">
        <is>
          <t>8000010 - تسوية مراكز التكلفة تكامل</t>
        </is>
      </c>
      <c r="E3" s="44" t="inlineStr">
        <is>
          <t>8000011 - المصاريف العمومية والادارية تكامل</t>
        </is>
      </c>
      <c r="F3" s="44" t="inlineStr">
        <is>
          <t>8000020 - مصاريف بيعية وتسويقية تكامل</t>
        </is>
      </c>
      <c r="G3" s="44" t="inlineStr">
        <is>
          <t>8000030 - تدريب وتطوير تكامل</t>
        </is>
      </c>
      <c r="H3" s="44" t="inlineStr">
        <is>
          <t>8000040 - مكتب ادارة المشاريع تكامل</t>
        </is>
      </c>
      <c r="I3" s="44" t="inlineStr">
        <is>
          <t>8000050 - الاتصال المؤسسي تكامل</t>
        </is>
      </c>
      <c r="J3" s="44" t="inlineStr">
        <is>
          <t>8023010 - إنشاء مقار إدارة العمل التطوعي لخدمة ضيوف الرحمن</t>
        </is>
      </c>
      <c r="K3" s="44" t="inlineStr">
        <is>
          <t>8023020 - منهجية عمل تعزز البنية المؤسسية للمنظمات غير الربحية</t>
        </is>
      </c>
      <c r="L3" s="44" t="inlineStr">
        <is>
          <t>8023030 - رفع الوعي الفني لدى منظمات القطاع غير الربحي</t>
        </is>
      </c>
      <c r="M3" s="44" t="inlineStr">
        <is>
          <t>8024010 - مشروع تقديم خدمات تأسيس وتفعيل وحدات ومراكز العمل التطوعي</t>
        </is>
      </c>
      <c r="N3" s="44" t="inlineStr">
        <is>
          <t>8024020 - مشروع الخدمات اللوجستية للعاملين في القطاع غير الربحي</t>
        </is>
      </c>
      <c r="O3" s="44" t="inlineStr">
        <is>
          <t>8024030 - تمكين الجمعيات المتخصصة العاملة في القطاع غير الربحي</t>
        </is>
      </c>
      <c r="P3" s="44" t="inlineStr">
        <is>
          <t>8024040 - تقديم الخدمات اللوجستية للتدريب في برنامج رائد</t>
        </is>
      </c>
      <c r="Q3" s="44" t="inlineStr">
        <is>
          <t>8025010 - مشروع العربة</t>
        </is>
      </c>
      <c r="R3" s="44" t="inlineStr">
        <is>
          <t>8025020 - مشروع وزارة الرياضة</t>
        </is>
      </c>
      <c r="S3" s="44" t="inlineStr">
        <is>
          <t>8025030 - تقديم 3000 ساعة عمل تطوعية لموظفين شركة الكهرباء</t>
        </is>
      </c>
      <c r="T3" s="44" t="inlineStr">
        <is>
          <t>8025040 - مصنع الابتكار - اشوكا</t>
        </is>
      </c>
      <c r="U3" s="44" t="inlineStr">
        <is>
          <t>8025050 - حصر الاحتياج التدريبي في منظومة الصحة</t>
        </is>
      </c>
      <c r="V3" s="44" t="inlineStr">
        <is>
          <t>8025060 - مجموعات عمل التطوع التكافلي</t>
        </is>
      </c>
      <c r="W3" s="44" t="inlineStr">
        <is>
          <t>8025070 - سفر الإفطار في الحرم المكي</t>
        </is>
      </c>
      <c r="X3" s="44" t="inlineStr">
        <is>
          <t>8025080 - سوق الدار</t>
        </is>
      </c>
      <c r="Y3" s="44" t="inlineStr">
        <is>
          <t>Untagged</t>
        </is>
      </c>
    </row>
    <row r="4">
      <c r="A4" s="14" t="inlineStr">
        <is>
          <t xml:space="preserve">Account </t>
        </is>
      </c>
      <c r="B4" s="14" t="inlineStr">
        <is>
          <t xml:space="preserve">Account Code </t>
        </is>
      </c>
      <c r="C4" s="32" t="inlineStr">
        <is>
          <t xml:space="preserve">Total </t>
        </is>
      </c>
      <c r="D4" s="32" t="inlineStr">
        <is>
          <t xml:space="preserve">Total </t>
        </is>
      </c>
      <c r="E4" s="32" t="inlineStr">
        <is>
          <t xml:space="preserve">Total </t>
        </is>
      </c>
      <c r="F4" s="32" t="inlineStr">
        <is>
          <t xml:space="preserve">Total </t>
        </is>
      </c>
      <c r="G4" s="32" t="inlineStr">
        <is>
          <t xml:space="preserve">Total </t>
        </is>
      </c>
      <c r="H4" s="32" t="inlineStr">
        <is>
          <t xml:space="preserve">Total </t>
        </is>
      </c>
      <c r="I4" s="32" t="inlineStr">
        <is>
          <t xml:space="preserve">Total </t>
        </is>
      </c>
      <c r="J4" s="32" t="inlineStr">
        <is>
          <t xml:space="preserve">Total </t>
        </is>
      </c>
      <c r="K4" s="32" t="inlineStr">
        <is>
          <t xml:space="preserve">Total </t>
        </is>
      </c>
      <c r="L4" s="32" t="inlineStr">
        <is>
          <t xml:space="preserve">Total </t>
        </is>
      </c>
      <c r="M4" s="32" t="inlineStr">
        <is>
          <t xml:space="preserve">Total </t>
        </is>
      </c>
      <c r="N4" s="32" t="inlineStr">
        <is>
          <t xml:space="preserve">Total </t>
        </is>
      </c>
      <c r="O4" s="32" t="inlineStr">
        <is>
          <t xml:space="preserve">Total </t>
        </is>
      </c>
      <c r="P4" s="32" t="inlineStr">
        <is>
          <t xml:space="preserve">Total </t>
        </is>
      </c>
      <c r="Q4" s="32" t="inlineStr">
        <is>
          <t xml:space="preserve">Total </t>
        </is>
      </c>
      <c r="R4" s="32" t="inlineStr">
        <is>
          <t xml:space="preserve">Total </t>
        </is>
      </c>
      <c r="S4" s="32" t="inlineStr">
        <is>
          <t xml:space="preserve">Total </t>
        </is>
      </c>
      <c r="T4" s="32" t="inlineStr">
        <is>
          <t xml:space="preserve">Total </t>
        </is>
      </c>
      <c r="U4" s="32" t="inlineStr">
        <is>
          <t xml:space="preserve">Total </t>
        </is>
      </c>
      <c r="V4" s="32" t="inlineStr">
        <is>
          <t xml:space="preserve">Total </t>
        </is>
      </c>
      <c r="W4" s="32" t="inlineStr">
        <is>
          <t xml:space="preserve">Total </t>
        </is>
      </c>
      <c r="X4" s="32" t="inlineStr">
        <is>
          <t xml:space="preserve">Total </t>
        </is>
      </c>
      <c r="Y4" s="32" t="inlineStr">
        <is>
          <t xml:space="preserve">Total </t>
        </is>
      </c>
    </row>
    <row r="6">
      <c r="A6" s="7" t="inlineStr">
        <is>
          <t>Operating Income</t>
        </is>
      </c>
      <c r="B6" s="7" t="inlineStr">
        <is>
          <t/>
        </is>
      </c>
      <c r="C6" t="inlineStr">
        <is>
          <t/>
        </is>
      </c>
      <c r="D6" t="inlineStr">
        <is>
          <t/>
        </is>
      </c>
      <c r="E6" t="inlineStr">
        <is>
          <t/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/>
        </is>
      </c>
      <c r="J6" t="inlineStr">
        <is>
          <t/>
        </is>
      </c>
      <c r="K6" t="inlineStr">
        <is>
          <t/>
        </is>
      </c>
      <c r="L6" t="inlineStr">
        <is>
          <t/>
        </is>
      </c>
      <c r="M6" t="inlineStr">
        <is>
          <t/>
        </is>
      </c>
      <c r="N6" t="inlineStr">
        <is>
          <t/>
        </is>
      </c>
      <c r="O6" t="inlineStr">
        <is>
          <t/>
        </is>
      </c>
      <c r="P6" t="inlineStr">
        <is>
          <t/>
        </is>
      </c>
      <c r="Q6" t="inlineStr">
        <is>
          <t/>
        </is>
      </c>
      <c r="R6" t="inlineStr">
        <is>
          <t/>
        </is>
      </c>
      <c r="S6" t="inlineStr">
        <is>
          <t/>
        </is>
      </c>
      <c r="T6" t="inlineStr">
        <is>
          <t/>
        </is>
      </c>
      <c r="U6" t="inlineStr">
        <is>
          <t/>
        </is>
      </c>
      <c r="V6" t="inlineStr">
        <is>
          <t/>
        </is>
      </c>
      <c r="W6" t="inlineStr">
        <is>
          <t/>
        </is>
      </c>
      <c r="X6" t="inlineStr">
        <is>
          <t/>
        </is>
      </c>
      <c r="Y6" t="inlineStr">
        <is>
          <t/>
        </is>
      </c>
    </row>
    <row r="7">
      <c r="A7" s="7" t="inlineStr">
        <is>
          <t xml:space="preserve">          Sales reveune - ايرادات المبيعات</t>
        </is>
      </c>
      <c r="B7" s="7" t="inlineStr">
        <is>
          <t>41</t>
        </is>
      </c>
      <c r="C7" s="11" t="n">
        <v>0.0</v>
      </c>
      <c r="D7" s="11" t="n">
        <v>0.0</v>
      </c>
      <c r="E7" s="11" t="n">
        <v>0.0</v>
      </c>
      <c r="F7" s="11" t="n">
        <v>0.0</v>
      </c>
      <c r="G7" s="11" t="n">
        <v>0.0</v>
      </c>
      <c r="H7" s="11" t="n">
        <v>0.0</v>
      </c>
      <c r="I7" s="11" t="n">
        <v>0.0</v>
      </c>
      <c r="J7" s="11" t="n">
        <v>0.0</v>
      </c>
      <c r="K7" s="11" t="n">
        <v>0.0</v>
      </c>
      <c r="L7" s="11" t="n">
        <v>0.0</v>
      </c>
      <c r="M7" s="11" t="n">
        <v>0.0</v>
      </c>
      <c r="N7" s="11" t="n">
        <v>0.0</v>
      </c>
      <c r="O7" s="11" t="n">
        <v>0.0</v>
      </c>
      <c r="P7" s="11" t="n">
        <v>0.0</v>
      </c>
      <c r="Q7" s="11" t="n">
        <v>0.0</v>
      </c>
      <c r="R7" s="11" t="n">
        <v>0.0</v>
      </c>
      <c r="S7" s="11" t="n">
        <v>0.0</v>
      </c>
      <c r="T7" s="11" t="n">
        <v>0.0</v>
      </c>
      <c r="U7" s="11" t="n">
        <v>0.0</v>
      </c>
      <c r="V7" s="11" t="n">
        <v>0.0</v>
      </c>
      <c r="W7" s="11" t="n">
        <v>0.0</v>
      </c>
      <c r="X7" s="11" t="n">
        <v>0.0</v>
      </c>
      <c r="Y7" s="11" t="n">
        <v>0.0</v>
      </c>
    </row>
    <row r="8">
      <c r="A8" s="7" t="inlineStr">
        <is>
          <t xml:space="preserve">                    Govrenment Sales - المبيعات الحكومية</t>
        </is>
      </c>
      <c r="B8" s="7" t="inlineStr">
        <is>
          <t>411</t>
        </is>
      </c>
      <c r="C8" s="11" t="n">
        <v>2.141137127E7</v>
      </c>
      <c r="D8" s="11" t="n">
        <v>0.0</v>
      </c>
      <c r="E8" s="11" t="n">
        <v>0.0</v>
      </c>
      <c r="F8" s="11" t="n">
        <v>0.0</v>
      </c>
      <c r="G8" s="11" t="n">
        <v>0.0</v>
      </c>
      <c r="H8" s="11" t="n">
        <v>0.0</v>
      </c>
      <c r="I8" s="11" t="n">
        <v>0.0</v>
      </c>
      <c r="J8" s="11" t="n">
        <v>5934840.0</v>
      </c>
      <c r="K8" s="11" t="n">
        <v>1070000.0</v>
      </c>
      <c r="L8" s="11" t="n">
        <v>2111789.6</v>
      </c>
      <c r="M8" s="11" t="n">
        <v>0.0</v>
      </c>
      <c r="N8" s="11" t="n">
        <v>0.0</v>
      </c>
      <c r="O8" s="11" t="n">
        <v>6558541.67</v>
      </c>
      <c r="P8" s="11" t="n">
        <v>775000.0</v>
      </c>
      <c r="Q8" s="11" t="n">
        <v>0.0</v>
      </c>
      <c r="R8" s="11" t="n">
        <v>0.0</v>
      </c>
      <c r="S8" s="11" t="n">
        <v>0.0</v>
      </c>
      <c r="T8" s="11" t="n">
        <v>0.0</v>
      </c>
      <c r="U8" s="11" t="n">
        <v>0.0</v>
      </c>
      <c r="V8" s="11" t="n">
        <v>4961200.0</v>
      </c>
      <c r="W8" s="11" t="n">
        <v>0.0</v>
      </c>
      <c r="X8" s="11" t="n">
        <v>0.0</v>
      </c>
      <c r="Y8" s="11" t="n">
        <v>0.0</v>
      </c>
    </row>
    <row r="9">
      <c r="A9" s="7" t="inlineStr">
        <is>
          <t xml:space="preserve">                    Private Sector Sales - مبيعات القطاع الخاص</t>
        </is>
      </c>
      <c r="B9" s="7" t="inlineStr">
        <is>
          <t>412</t>
        </is>
      </c>
      <c r="C9" s="11" t="n">
        <v>4006337.53</v>
      </c>
      <c r="D9" s="11" t="n">
        <v>0.0</v>
      </c>
      <c r="E9" s="11" t="n">
        <v>0.0</v>
      </c>
      <c r="F9" s="11" t="n">
        <v>0.0</v>
      </c>
      <c r="G9" s="11" t="n">
        <v>0.0</v>
      </c>
      <c r="H9" s="11" t="n">
        <v>0.0</v>
      </c>
      <c r="I9" s="11" t="n">
        <v>0.0</v>
      </c>
      <c r="J9" s="11" t="n">
        <v>0.0</v>
      </c>
      <c r="K9" s="11" t="n">
        <v>0.0</v>
      </c>
      <c r="L9" s="11" t="n">
        <v>0.0</v>
      </c>
      <c r="M9" s="11" t="n">
        <v>585000.0</v>
      </c>
      <c r="N9" s="11" t="n">
        <v>0.0</v>
      </c>
      <c r="O9" s="11" t="n">
        <v>0.0</v>
      </c>
      <c r="P9" s="11" t="n">
        <v>775000.0</v>
      </c>
      <c r="Q9" s="11" t="n">
        <v>2160624.8</v>
      </c>
      <c r="R9" s="11" t="n">
        <v>392100.0</v>
      </c>
      <c r="S9" s="11" t="n">
        <v>0.0</v>
      </c>
      <c r="T9" s="11" t="n">
        <v>93612.73</v>
      </c>
      <c r="U9" s="11" t="n">
        <v>0.0</v>
      </c>
      <c r="V9" s="11" t="n">
        <v>0.0</v>
      </c>
      <c r="W9" s="11" t="n">
        <v>0.0</v>
      </c>
      <c r="X9" s="11" t="n">
        <v>0.0</v>
      </c>
      <c r="Y9" s="11" t="n">
        <v>0.0</v>
      </c>
    </row>
    <row r="10">
      <c r="A10" s="7" t="inlineStr">
        <is>
          <t xml:space="preserve">                    NPO sales (Third Sector) - مبيعات القطاع الثالث</t>
        </is>
      </c>
      <c r="B10" s="7" t="inlineStr">
        <is>
          <t>413</t>
        </is>
      </c>
      <c r="C10" s="11" t="n">
        <v>3588878.26</v>
      </c>
      <c r="D10" s="11" t="n">
        <v>0.0</v>
      </c>
      <c r="E10" s="11" t="n">
        <v>0.0</v>
      </c>
      <c r="F10" s="11" t="n">
        <v>0.0</v>
      </c>
      <c r="G10" s="11" t="n">
        <v>0.0</v>
      </c>
      <c r="H10" s="11" t="n">
        <v>0.0</v>
      </c>
      <c r="I10" s="11" t="n">
        <v>0.0</v>
      </c>
      <c r="J10" s="11" t="n">
        <v>0.0</v>
      </c>
      <c r="K10" s="11" t="n">
        <v>0.0</v>
      </c>
      <c r="L10" s="11" t="n">
        <v>0.0</v>
      </c>
      <c r="M10" s="11" t="n">
        <v>585000.0</v>
      </c>
      <c r="N10" s="11" t="n">
        <v>537725.7</v>
      </c>
      <c r="O10" s="11" t="n">
        <v>0.0</v>
      </c>
      <c r="P10" s="11" t="n">
        <v>0.0</v>
      </c>
      <c r="Q10" s="11" t="n">
        <v>0.0</v>
      </c>
      <c r="R10" s="11" t="n">
        <v>2466152.56</v>
      </c>
      <c r="S10" s="11" t="n">
        <v>0.0</v>
      </c>
      <c r="T10" s="11" t="n">
        <v>0.0</v>
      </c>
      <c r="U10" s="11" t="n">
        <v>0.0</v>
      </c>
      <c r="V10" s="11" t="n">
        <v>0.0</v>
      </c>
      <c r="W10" s="11" t="n">
        <v>0.0</v>
      </c>
      <c r="X10" s="11" t="n">
        <v>0.0</v>
      </c>
      <c r="Y10" s="11" t="n">
        <v>0.0</v>
      </c>
    </row>
    <row r="11">
      <c r="A11" s="26" t="inlineStr">
        <is>
          <t xml:space="preserve">          Total for Sales reveune - ايرادات المبيعات</t>
        </is>
      </c>
      <c r="B11" t="inlineStr">
        <is>
          <t>41</t>
        </is>
      </c>
      <c r="C11" s="5" t="n">
        <f>(+(C7)+(C8)+(C9)+(C10))</f>
        <v>0.0</v>
      </c>
      <c r="D11" s="5" t="n">
        <f>(+(D7)+(D8)+(D9)+(D10))</f>
        <v>0.0</v>
      </c>
      <c r="E11" s="5" t="n">
        <f>(+(E7)+(E8)+(E9)+(E10))</f>
        <v>0.0</v>
      </c>
      <c r="F11" s="5" t="n">
        <f>(+(F7)+(F8)+(F9)+(F10))</f>
        <v>0.0</v>
      </c>
      <c r="G11" s="5" t="n">
        <f>(+(G7)+(G8)+(G9)+(G10))</f>
        <v>0.0</v>
      </c>
      <c r="H11" s="5" t="n">
        <f>(+(H7)+(H8)+(H9)+(H10))</f>
        <v>0.0</v>
      </c>
      <c r="I11" s="5" t="n">
        <f>(+(I7)+(I8)+(I9)+(I10))</f>
        <v>0.0</v>
      </c>
      <c r="J11" s="5" t="n">
        <f>(+(J7)+(J8)+(J9)+(J10))</f>
        <v>0.0</v>
      </c>
      <c r="K11" s="5" t="n">
        <f>(+(K7)+(K8)+(K9)+(K10))</f>
        <v>0.0</v>
      </c>
      <c r="L11" s="5" t="n">
        <f>(+(L7)+(L8)+(L9)+(L10))</f>
        <v>0.0</v>
      </c>
      <c r="M11" s="5" t="n">
        <f>(+(M7)+(M8)+(M9)+(M10))</f>
        <v>0.0</v>
      </c>
      <c r="N11" s="5" t="n">
        <f>(+(N7)+(N8)+(N9)+(N10))</f>
        <v>0.0</v>
      </c>
      <c r="O11" s="5" t="n">
        <f>(+(O7)+(O8)+(O9)+(O10))</f>
        <v>0.0</v>
      </c>
      <c r="P11" s="5" t="n">
        <f>(+(P7)+(P8)+(P9)+(P10))</f>
        <v>0.0</v>
      </c>
      <c r="Q11" s="5" t="n">
        <f>(+(Q7)+(Q8)+(Q9)+(Q10))</f>
        <v>0.0</v>
      </c>
      <c r="R11" s="5" t="n">
        <f>(+(R7)+(R8)+(R9)+(R10))</f>
        <v>0.0</v>
      </c>
      <c r="S11" s="5" t="n">
        <f>(+(S7)+(S8)+(S9)+(S10))</f>
        <v>0.0</v>
      </c>
      <c r="T11" s="5" t="n">
        <f>(+(T7)+(T8)+(T9)+(T10))</f>
        <v>0.0</v>
      </c>
      <c r="U11" s="5" t="n">
        <f>(+(U7)+(U8)+(U9)+(U10))</f>
        <v>0.0</v>
      </c>
      <c r="V11" s="5" t="n">
        <f>(+(V7)+(V8)+(V9)+(V10))</f>
        <v>0.0</v>
      </c>
      <c r="W11" s="5" t="n">
        <f>(+(W7)+(W8)+(W9)+(W10))</f>
        <v>0.0</v>
      </c>
      <c r="X11" s="5" t="n">
        <f>(+(X7)+(X8)+(X9)+(X10))</f>
        <v>0.0</v>
      </c>
      <c r="Y11" s="5" t="n">
        <f>(+(Y7)+(Y8)+(Y9)+(Y10))</f>
        <v>0.0</v>
      </c>
    </row>
    <row r="13">
      <c r="A13" s="26" t="inlineStr">
        <is>
          <t>Total for Operating Income</t>
        </is>
      </c>
      <c r="B13" t="inlineStr">
        <is>
          <t/>
        </is>
      </c>
      <c r="C13" s="5" t="n">
        <f>(+(C11))</f>
        <v>0.0</v>
      </c>
      <c r="D13" s="5" t="n">
        <f>(+(D11))</f>
        <v>0.0</v>
      </c>
      <c r="E13" s="5" t="n">
        <f>(+(E11))</f>
        <v>0.0</v>
      </c>
      <c r="F13" s="5" t="n">
        <f>(+(F11))</f>
        <v>0.0</v>
      </c>
      <c r="G13" s="5" t="n">
        <f>(+(G11))</f>
        <v>0.0</v>
      </c>
      <c r="H13" s="5" t="n">
        <f>(+(H11))</f>
        <v>0.0</v>
      </c>
      <c r="I13" s="5" t="n">
        <f>(+(I11))</f>
        <v>0.0</v>
      </c>
      <c r="J13" s="5" t="n">
        <f>(+(J11))</f>
        <v>0.0</v>
      </c>
      <c r="K13" s="5" t="n">
        <f>(+(K11))</f>
        <v>0.0</v>
      </c>
      <c r="L13" s="5" t="n">
        <f>(+(L11))</f>
        <v>0.0</v>
      </c>
      <c r="M13" s="5" t="n">
        <f>(+(M11))</f>
        <v>0.0</v>
      </c>
      <c r="N13" s="5" t="n">
        <f>(+(N11))</f>
        <v>0.0</v>
      </c>
      <c r="O13" s="5" t="n">
        <f>(+(O11))</f>
        <v>0.0</v>
      </c>
      <c r="P13" s="5" t="n">
        <f>(+(P11))</f>
        <v>0.0</v>
      </c>
      <c r="Q13" s="5" t="n">
        <f>(+(Q11))</f>
        <v>0.0</v>
      </c>
      <c r="R13" s="5" t="n">
        <f>(+(R11))</f>
        <v>0.0</v>
      </c>
      <c r="S13" s="5" t="n">
        <f>(+(S11))</f>
        <v>0.0</v>
      </c>
      <c r="T13" s="5" t="n">
        <f>(+(T11))</f>
        <v>0.0</v>
      </c>
      <c r="U13" s="5" t="n">
        <f>(+(U11))</f>
        <v>0.0</v>
      </c>
      <c r="V13" s="5" t="n">
        <f>(+(V11))</f>
        <v>0.0</v>
      </c>
      <c r="W13" s="5" t="n">
        <f>(+(W11))</f>
        <v>0.0</v>
      </c>
      <c r="X13" s="5" t="n">
        <f>(+(X11))</f>
        <v>0.0</v>
      </c>
      <c r="Y13" s="5" t="n">
        <f>(+(Y11))</f>
        <v>0.0</v>
      </c>
    </row>
    <row r="15">
      <c r="A15" s="7" t="inlineStr">
        <is>
          <t>Cost of Goods Sold</t>
        </is>
      </c>
      <c r="B15" s="7" t="inlineStr">
        <is>
          <t/>
        </is>
      </c>
      <c r="C15" t="inlineStr">
        <is>
          <t/>
        </is>
      </c>
      <c r="D15" t="inlineStr">
        <is>
          <t/>
        </is>
      </c>
      <c r="E15" t="inlineStr">
        <is>
          <t/>
        </is>
      </c>
      <c r="F15" t="inlineStr">
        <is>
          <t/>
        </is>
      </c>
      <c r="G15" t="inlineStr">
        <is>
          <t/>
        </is>
      </c>
      <c r="H15" t="inlineStr">
        <is>
          <t/>
        </is>
      </c>
      <c r="I15" t="inlineStr">
        <is>
          <t/>
        </is>
      </c>
      <c r="J15" t="inlineStr">
        <is>
          <t/>
        </is>
      </c>
      <c r="K15" t="inlineStr">
        <is>
          <t/>
        </is>
      </c>
      <c r="L15" t="inlineStr">
        <is>
          <t/>
        </is>
      </c>
      <c r="M15" t="inlineStr">
        <is>
          <t/>
        </is>
      </c>
      <c r="N15" t="inlineStr">
        <is>
          <t/>
        </is>
      </c>
      <c r="O15" t="inlineStr">
        <is>
          <t/>
        </is>
      </c>
      <c r="P15" t="inlineStr">
        <is>
          <t/>
        </is>
      </c>
      <c r="Q15" t="inlineStr">
        <is>
          <t/>
        </is>
      </c>
      <c r="R15" t="inlineStr">
        <is>
          <t/>
        </is>
      </c>
      <c r="S15" t="inlineStr">
        <is>
          <t/>
        </is>
      </c>
      <c r="T15" t="inlineStr">
        <is>
          <t/>
        </is>
      </c>
      <c r="U15" t="inlineStr">
        <is>
          <t/>
        </is>
      </c>
      <c r="V15" t="inlineStr">
        <is>
          <t/>
        </is>
      </c>
      <c r="W15" t="inlineStr">
        <is>
          <t/>
        </is>
      </c>
      <c r="X15" t="inlineStr">
        <is>
          <t/>
        </is>
      </c>
      <c r="Y15" t="inlineStr">
        <is>
          <t/>
        </is>
      </c>
    </row>
    <row r="16">
      <c r="A16" s="7" t="inlineStr">
        <is>
          <t xml:space="preserve">          Project expenses - 5 - مصاريف المشاريع</t>
        </is>
      </c>
      <c r="B16" s="7" t="inlineStr">
        <is>
          <t>5</t>
        </is>
      </c>
      <c r="C16" s="11" t="n">
        <v>0.0</v>
      </c>
      <c r="D16" s="11" t="n">
        <v>0.0</v>
      </c>
      <c r="E16" s="11" t="n">
        <v>0.0</v>
      </c>
      <c r="F16" s="11" t="n">
        <v>0.0</v>
      </c>
      <c r="G16" s="11" t="n">
        <v>0.0</v>
      </c>
      <c r="H16" s="11" t="n">
        <v>0.0</v>
      </c>
      <c r="I16" s="11" t="n">
        <v>0.0</v>
      </c>
      <c r="J16" s="11" t="n">
        <v>0.0</v>
      </c>
      <c r="K16" s="11" t="n">
        <v>0.0</v>
      </c>
      <c r="L16" s="11" t="n">
        <v>0.0</v>
      </c>
      <c r="M16" s="11" t="n">
        <v>0.0</v>
      </c>
      <c r="N16" s="11" t="n">
        <v>0.0</v>
      </c>
      <c r="O16" s="11" t="n">
        <v>0.0</v>
      </c>
      <c r="P16" s="11" t="n">
        <v>0.0</v>
      </c>
      <c r="Q16" s="11" t="n">
        <v>0.0</v>
      </c>
      <c r="R16" s="11" t="n">
        <v>0.0</v>
      </c>
      <c r="S16" s="11" t="n">
        <v>0.0</v>
      </c>
      <c r="T16" s="11" t="n">
        <v>0.0</v>
      </c>
      <c r="U16" s="11" t="n">
        <v>0.0</v>
      </c>
      <c r="V16" s="11" t="n">
        <v>0.0</v>
      </c>
      <c r="W16" s="11" t="n">
        <v>0.0</v>
      </c>
      <c r="X16" s="11" t="n">
        <v>0.0</v>
      </c>
      <c r="Y16" s="11" t="n">
        <v>0.0</v>
      </c>
    </row>
    <row r="17">
      <c r="A17" s="7" t="inlineStr">
        <is>
          <t xml:space="preserve">                    Operating Payroll and Related - 51 - الرواتب المباشرة وملحقاتها</t>
        </is>
      </c>
      <c r="B17" s="7" t="inlineStr">
        <is>
          <t>51</t>
        </is>
      </c>
      <c r="C17" s="11" t="n">
        <v>0.0</v>
      </c>
      <c r="D17" s="11" t="n">
        <v>0.0</v>
      </c>
      <c r="E17" s="11" t="n">
        <v>0.0</v>
      </c>
      <c r="F17" s="11" t="n">
        <v>0.0</v>
      </c>
      <c r="G17" s="11" t="n">
        <v>0.0</v>
      </c>
      <c r="H17" s="11" t="n">
        <v>0.0</v>
      </c>
      <c r="I17" s="11" t="n">
        <v>0.0</v>
      </c>
      <c r="J17" s="11" t="n">
        <v>0.0</v>
      </c>
      <c r="K17" s="11" t="n">
        <v>0.0</v>
      </c>
      <c r="L17" s="11" t="n">
        <v>0.0</v>
      </c>
      <c r="M17" s="11" t="n">
        <v>0.0</v>
      </c>
      <c r="N17" s="11" t="n">
        <v>0.0</v>
      </c>
      <c r="O17" s="11" t="n">
        <v>0.0</v>
      </c>
      <c r="P17" s="11" t="n">
        <v>0.0</v>
      </c>
      <c r="Q17" s="11" t="n">
        <v>0.0</v>
      </c>
      <c r="R17" s="11" t="n">
        <v>0.0</v>
      </c>
      <c r="S17" s="11" t="n">
        <v>0.0</v>
      </c>
      <c r="T17" s="11" t="n">
        <v>0.0</v>
      </c>
      <c r="U17" s="11" t="n">
        <v>0.0</v>
      </c>
      <c r="V17" s="11" t="n">
        <v>0.0</v>
      </c>
      <c r="W17" s="11" t="n">
        <v>0.0</v>
      </c>
      <c r="X17" s="11" t="n">
        <v>0.0</v>
      </c>
      <c r="Y17" s="11" t="n">
        <v>0.0</v>
      </c>
    </row>
    <row r="18">
      <c r="A18" s="7" t="inlineStr">
        <is>
          <t xml:space="preserve">                              Payroll and related - 510101 - الرواتب وما في حكمها</t>
        </is>
      </c>
      <c r="B18" s="7" t="inlineStr">
        <is>
          <t>510101</t>
        </is>
      </c>
      <c r="C18" s="11" t="n">
        <v>1789041.09</v>
      </c>
      <c r="D18" s="11" t="n">
        <v>1789041.09</v>
      </c>
      <c r="E18" s="11" t="n">
        <v>0.0</v>
      </c>
      <c r="F18" s="11" t="n">
        <v>0.0</v>
      </c>
      <c r="G18" s="11" t="n">
        <v>0.0</v>
      </c>
      <c r="H18" s="11" t="n">
        <v>0.0</v>
      </c>
      <c r="I18" s="11" t="n">
        <v>0.0</v>
      </c>
      <c r="J18" s="11" t="n">
        <v>0.0</v>
      </c>
      <c r="K18" s="11" t="n">
        <v>0.0</v>
      </c>
      <c r="L18" s="11" t="n">
        <v>0.0</v>
      </c>
      <c r="M18" s="11" t="n">
        <v>0.0</v>
      </c>
      <c r="N18" s="11" t="n">
        <v>0.0</v>
      </c>
      <c r="O18" s="11" t="n">
        <v>0.0</v>
      </c>
      <c r="P18" s="11" t="n">
        <v>0.0</v>
      </c>
      <c r="Q18" s="11" t="n">
        <v>0.0</v>
      </c>
      <c r="R18" s="11" t="n">
        <v>0.0</v>
      </c>
      <c r="S18" s="11" t="n">
        <v>0.0</v>
      </c>
      <c r="T18" s="11" t="n">
        <v>0.0</v>
      </c>
      <c r="U18" s="11" t="n">
        <v>0.0</v>
      </c>
      <c r="V18" s="11" t="n">
        <v>0.0</v>
      </c>
      <c r="W18" s="11" t="n">
        <v>0.0</v>
      </c>
      <c r="X18" s="11" t="n">
        <v>0.0</v>
      </c>
      <c r="Y18" s="11" t="n">
        <v>0.0</v>
      </c>
    </row>
    <row r="19">
      <c r="A19" s="7" t="inlineStr">
        <is>
          <t xml:space="preserve">                              GOSI - 510103 - التأمينات الاجتماعية</t>
        </is>
      </c>
      <c r="B19" s="7" t="inlineStr">
        <is>
          <t>510103</t>
        </is>
      </c>
      <c r="C19" s="11" t="n">
        <v>93052.34</v>
      </c>
      <c r="D19" s="11" t="n">
        <v>93052.34</v>
      </c>
      <c r="E19" s="11" t="n">
        <v>0.0</v>
      </c>
      <c r="F19" s="11" t="n">
        <v>0.0</v>
      </c>
      <c r="G19" s="11" t="n">
        <v>0.0</v>
      </c>
      <c r="H19" s="11" t="n">
        <v>0.0</v>
      </c>
      <c r="I19" s="11" t="n">
        <v>0.0</v>
      </c>
      <c r="J19" s="11" t="n">
        <v>0.0</v>
      </c>
      <c r="K19" s="11" t="n">
        <v>0.0</v>
      </c>
      <c r="L19" s="11" t="n">
        <v>0.0</v>
      </c>
      <c r="M19" s="11" t="n">
        <v>0.0</v>
      </c>
      <c r="N19" s="11" t="n">
        <v>0.0</v>
      </c>
      <c r="O19" s="11" t="n">
        <v>0.0</v>
      </c>
      <c r="P19" s="11" t="n">
        <v>0.0</v>
      </c>
      <c r="Q19" s="11" t="n">
        <v>0.0</v>
      </c>
      <c r="R19" s="11" t="n">
        <v>0.0</v>
      </c>
      <c r="S19" s="11" t="n">
        <v>0.0</v>
      </c>
      <c r="T19" s="11" t="n">
        <v>0.0</v>
      </c>
      <c r="U19" s="11" t="n">
        <v>0.0</v>
      </c>
      <c r="V19" s="11" t="n">
        <v>0.0</v>
      </c>
      <c r="W19" s="11" t="n">
        <v>0.0</v>
      </c>
      <c r="X19" s="11" t="n">
        <v>0.0</v>
      </c>
      <c r="Y19" s="11" t="n">
        <v>0.0</v>
      </c>
    </row>
    <row r="20">
      <c r="A20" s="7" t="inlineStr">
        <is>
          <t xml:space="preserve">                              Medical insurance - 510104 - تامين طبي</t>
        </is>
      </c>
      <c r="B20" s="7" t="inlineStr">
        <is>
          <t>510104</t>
        </is>
      </c>
      <c r="C20" s="11" t="n">
        <v>64080.63</v>
      </c>
      <c r="D20" s="11" t="n">
        <v>64080.63</v>
      </c>
      <c r="E20" s="11" t="n">
        <v>0.0</v>
      </c>
      <c r="F20" s="11" t="n">
        <v>0.0</v>
      </c>
      <c r="G20" s="11" t="n">
        <v>0.0</v>
      </c>
      <c r="H20" s="11" t="n">
        <v>0.0</v>
      </c>
      <c r="I20" s="11" t="n">
        <v>0.0</v>
      </c>
      <c r="J20" s="11" t="n">
        <v>0.0</v>
      </c>
      <c r="K20" s="11" t="n">
        <v>0.0</v>
      </c>
      <c r="L20" s="11" t="n">
        <v>0.0</v>
      </c>
      <c r="M20" s="11" t="n">
        <v>0.0</v>
      </c>
      <c r="N20" s="11" t="n">
        <v>0.0</v>
      </c>
      <c r="O20" s="11" t="n">
        <v>0.0</v>
      </c>
      <c r="P20" s="11" t="n">
        <v>0.0</v>
      </c>
      <c r="Q20" s="11" t="n">
        <v>0.0</v>
      </c>
      <c r="R20" s="11" t="n">
        <v>0.0</v>
      </c>
      <c r="S20" s="11" t="n">
        <v>0.0</v>
      </c>
      <c r="T20" s="11" t="n">
        <v>0.0</v>
      </c>
      <c r="U20" s="11" t="n">
        <v>0.0</v>
      </c>
      <c r="V20" s="11" t="n">
        <v>0.0</v>
      </c>
      <c r="W20" s="11" t="n">
        <v>0.0</v>
      </c>
      <c r="X20" s="11" t="n">
        <v>0.0</v>
      </c>
      <c r="Y20" s="11" t="n">
        <v>0.0</v>
      </c>
    </row>
    <row r="21">
      <c r="A21" s="7" t="inlineStr">
        <is>
          <t xml:space="preserve">                              End of service benefits - 510105 - مكافاة نهاية الخدمة</t>
        </is>
      </c>
      <c r="B21" s="7" t="inlineStr">
        <is>
          <t>510105</t>
        </is>
      </c>
      <c r="C21" s="11" t="n">
        <v>58380.45</v>
      </c>
      <c r="D21" s="11" t="n">
        <v>58380.45</v>
      </c>
      <c r="E21" s="11" t="n">
        <v>0.0</v>
      </c>
      <c r="F21" s="11" t="n">
        <v>0.0</v>
      </c>
      <c r="G21" s="11" t="n">
        <v>0.0</v>
      </c>
      <c r="H21" s="11" t="n">
        <v>0.0</v>
      </c>
      <c r="I21" s="11" t="n">
        <v>0.0</v>
      </c>
      <c r="J21" s="11" t="n">
        <v>0.0</v>
      </c>
      <c r="K21" s="11" t="n">
        <v>0.0</v>
      </c>
      <c r="L21" s="11" t="n">
        <v>0.0</v>
      </c>
      <c r="M21" s="11" t="n">
        <v>0.0</v>
      </c>
      <c r="N21" s="11" t="n">
        <v>0.0</v>
      </c>
      <c r="O21" s="11" t="n">
        <v>0.0</v>
      </c>
      <c r="P21" s="11" t="n">
        <v>0.0</v>
      </c>
      <c r="Q21" s="11" t="n">
        <v>0.0</v>
      </c>
      <c r="R21" s="11" t="n">
        <v>0.0</v>
      </c>
      <c r="S21" s="11" t="n">
        <v>0.0</v>
      </c>
      <c r="T21" s="11" t="n">
        <v>0.0</v>
      </c>
      <c r="U21" s="11" t="n">
        <v>0.0</v>
      </c>
      <c r="V21" s="11" t="n">
        <v>0.0</v>
      </c>
      <c r="W21" s="11" t="n">
        <v>0.0</v>
      </c>
      <c r="X21" s="11" t="n">
        <v>0.0</v>
      </c>
      <c r="Y21" s="11" t="n">
        <v>0.0</v>
      </c>
    </row>
    <row r="22">
      <c r="A22" s="7" t="inlineStr">
        <is>
          <t xml:space="preserve">                              Sponosrship transfer - 510201 - نقل كفالات</t>
        </is>
      </c>
      <c r="B22" s="7" t="inlineStr">
        <is>
          <t>510201</t>
        </is>
      </c>
      <c r="C22" s="11" t="n">
        <v>15000.0</v>
      </c>
      <c r="D22" s="11" t="n">
        <v>6000.0</v>
      </c>
      <c r="E22" s="11" t="n">
        <v>0.0</v>
      </c>
      <c r="F22" s="11" t="n">
        <v>0.0</v>
      </c>
      <c r="G22" s="11" t="n">
        <v>0.0</v>
      </c>
      <c r="H22" s="11" t="n">
        <v>0.0</v>
      </c>
      <c r="I22" s="11" t="n">
        <v>0.0</v>
      </c>
      <c r="J22" s="11" t="n">
        <v>0.0</v>
      </c>
      <c r="K22" s="11" t="n">
        <v>0.0</v>
      </c>
      <c r="L22" s="11" t="n">
        <v>0.0</v>
      </c>
      <c r="M22" s="11" t="n">
        <v>0.0</v>
      </c>
      <c r="N22" s="11" t="n">
        <v>0.0</v>
      </c>
      <c r="O22" s="11" t="n">
        <v>0.0</v>
      </c>
      <c r="P22" s="11" t="n">
        <v>0.0</v>
      </c>
      <c r="Q22" s="11" t="n">
        <v>0.0</v>
      </c>
      <c r="R22" s="11" t="n">
        <v>9000.0</v>
      </c>
      <c r="S22" s="11" t="n">
        <v>0.0</v>
      </c>
      <c r="T22" s="11" t="n">
        <v>0.0</v>
      </c>
      <c r="U22" s="11" t="n">
        <v>0.0</v>
      </c>
      <c r="V22" s="11" t="n">
        <v>0.0</v>
      </c>
      <c r="W22" s="11" t="n">
        <v>0.0</v>
      </c>
      <c r="X22" s="11" t="n">
        <v>0.0</v>
      </c>
      <c r="Y22" s="11" t="n">
        <v>0.0</v>
      </c>
    </row>
    <row r="23">
      <c r="A23" s="7" t="inlineStr">
        <is>
          <t xml:space="preserve">                              Iqama renewal - 510202 - تجديد اقامات</t>
        </is>
      </c>
      <c r="B23" s="7" t="inlineStr">
        <is>
          <t>510202</t>
        </is>
      </c>
      <c r="C23" s="11" t="n">
        <v>2175.03</v>
      </c>
      <c r="D23" s="11" t="n">
        <v>2175.03</v>
      </c>
      <c r="E23" s="11" t="n">
        <v>0.0</v>
      </c>
      <c r="F23" s="11" t="n">
        <v>0.0</v>
      </c>
      <c r="G23" s="11" t="n">
        <v>0.0</v>
      </c>
      <c r="H23" s="11" t="n">
        <v>0.0</v>
      </c>
      <c r="I23" s="11" t="n">
        <v>0.0</v>
      </c>
      <c r="J23" s="11" t="n">
        <v>0.0</v>
      </c>
      <c r="K23" s="11" t="n">
        <v>0.0</v>
      </c>
      <c r="L23" s="11" t="n">
        <v>0.0</v>
      </c>
      <c r="M23" s="11" t="n">
        <v>0.0</v>
      </c>
      <c r="N23" s="11" t="n">
        <v>0.0</v>
      </c>
      <c r="O23" s="11" t="n">
        <v>0.0</v>
      </c>
      <c r="P23" s="11" t="n">
        <v>0.0</v>
      </c>
      <c r="Q23" s="11" t="n">
        <v>0.0</v>
      </c>
      <c r="R23" s="11" t="n">
        <v>0.0</v>
      </c>
      <c r="S23" s="11" t="n">
        <v>0.0</v>
      </c>
      <c r="T23" s="11" t="n">
        <v>0.0</v>
      </c>
      <c r="U23" s="11" t="n">
        <v>0.0</v>
      </c>
      <c r="V23" s="11" t="n">
        <v>0.0</v>
      </c>
      <c r="W23" s="11" t="n">
        <v>0.0</v>
      </c>
      <c r="X23" s="11" t="n">
        <v>0.0</v>
      </c>
      <c r="Y23" s="11" t="n">
        <v>0.0</v>
      </c>
    </row>
    <row r="24">
      <c r="A24" s="7" t="inlineStr">
        <is>
          <t xml:space="preserve">                              Labor office fees - 510203 - رسوم مكتب العمل والمقابل المالي</t>
        </is>
      </c>
      <c r="B24" s="7" t="inlineStr">
        <is>
          <t>510203</t>
        </is>
      </c>
      <c r="C24" s="11" t="n">
        <v>8800.04</v>
      </c>
      <c r="D24" s="11" t="n">
        <v>8800.04</v>
      </c>
      <c r="E24" s="11" t="n">
        <v>0.0</v>
      </c>
      <c r="F24" s="11" t="n">
        <v>0.0</v>
      </c>
      <c r="G24" s="11" t="n">
        <v>0.0</v>
      </c>
      <c r="H24" s="11" t="n">
        <v>0.0</v>
      </c>
      <c r="I24" s="11" t="n">
        <v>0.0</v>
      </c>
      <c r="J24" s="11" t="n">
        <v>0.0</v>
      </c>
      <c r="K24" s="11" t="n">
        <v>0.0</v>
      </c>
      <c r="L24" s="11" t="n">
        <v>0.0</v>
      </c>
      <c r="M24" s="11" t="n">
        <v>0.0</v>
      </c>
      <c r="N24" s="11" t="n">
        <v>0.0</v>
      </c>
      <c r="O24" s="11" t="n">
        <v>0.0</v>
      </c>
      <c r="P24" s="11" t="n">
        <v>0.0</v>
      </c>
      <c r="Q24" s="11" t="n">
        <v>0.0</v>
      </c>
      <c r="R24" s="11" t="n">
        <v>0.0</v>
      </c>
      <c r="S24" s="11" t="n">
        <v>0.0</v>
      </c>
      <c r="T24" s="11" t="n">
        <v>0.0</v>
      </c>
      <c r="U24" s="11" t="n">
        <v>0.0</v>
      </c>
      <c r="V24" s="11" t="n">
        <v>0.0</v>
      </c>
      <c r="W24" s="11" t="n">
        <v>0.0</v>
      </c>
      <c r="X24" s="11" t="n">
        <v>0.0</v>
      </c>
      <c r="Y24" s="11" t="n">
        <v>0.0</v>
      </c>
    </row>
    <row r="25">
      <c r="A25" s="26" t="inlineStr">
        <is>
          <t xml:space="preserve">                    Total for Operating Payroll and Related - 51 - الرواتب المباشرة وملحقاتها</t>
        </is>
      </c>
      <c r="B25" t="inlineStr">
        <is>
          <t>51</t>
        </is>
      </c>
      <c r="C25" s="5" t="n">
        <f>(+(C17)+(C18)+(C19)+(C20)+(C21)+(C22)+(C23)+(C24))</f>
        <v>0.0</v>
      </c>
      <c r="D25" s="5" t="n">
        <f>(+(D17)+(D18)+(D19)+(D20)+(D21)+(D22)+(D23)+(D24))</f>
        <v>0.0</v>
      </c>
      <c r="E25" s="5" t="n">
        <f>(+(E17)+(E18)+(E19)+(E20)+(E21)+(E22)+(E23)+(E24))</f>
        <v>0.0</v>
      </c>
      <c r="F25" s="5" t="n">
        <f>(+(F17)+(F18)+(F19)+(F20)+(F21)+(F22)+(F23)+(F24))</f>
        <v>0.0</v>
      </c>
      <c r="G25" s="5" t="n">
        <f>(+(G17)+(G18)+(G19)+(G20)+(G21)+(G22)+(G23)+(G24))</f>
        <v>0.0</v>
      </c>
      <c r="H25" s="5" t="n">
        <f>(+(H17)+(H18)+(H19)+(H20)+(H21)+(H22)+(H23)+(H24))</f>
        <v>0.0</v>
      </c>
      <c r="I25" s="5" t="n">
        <f>(+(I17)+(I18)+(I19)+(I20)+(I21)+(I22)+(I23)+(I24))</f>
        <v>0.0</v>
      </c>
      <c r="J25" s="5" t="n">
        <f>(+(J17)+(J18)+(J19)+(J20)+(J21)+(J22)+(J23)+(J24))</f>
        <v>0.0</v>
      </c>
      <c r="K25" s="5" t="n">
        <f>(+(K17)+(K18)+(K19)+(K20)+(K21)+(K22)+(K23)+(K24))</f>
        <v>0.0</v>
      </c>
      <c r="L25" s="5" t="n">
        <f>(+(L17)+(L18)+(L19)+(L20)+(L21)+(L22)+(L23)+(L24))</f>
        <v>0.0</v>
      </c>
      <c r="M25" s="5" t="n">
        <f>(+(M17)+(M18)+(M19)+(M20)+(M21)+(M22)+(M23)+(M24))</f>
        <v>0.0</v>
      </c>
      <c r="N25" s="5" t="n">
        <f>(+(N17)+(N18)+(N19)+(N20)+(N21)+(N22)+(N23)+(N24))</f>
        <v>0.0</v>
      </c>
      <c r="O25" s="5" t="n">
        <f>(+(O17)+(O18)+(O19)+(O20)+(O21)+(O22)+(O23)+(O24))</f>
        <v>0.0</v>
      </c>
      <c r="P25" s="5" t="n">
        <f>(+(P17)+(P18)+(P19)+(P20)+(P21)+(P22)+(P23)+(P24))</f>
        <v>0.0</v>
      </c>
      <c r="Q25" s="5" t="n">
        <f>(+(Q17)+(Q18)+(Q19)+(Q20)+(Q21)+(Q22)+(Q23)+(Q24))</f>
        <v>0.0</v>
      </c>
      <c r="R25" s="5" t="n">
        <f>(+(R17)+(R18)+(R19)+(R20)+(R21)+(R22)+(R23)+(R24))</f>
        <v>0.0</v>
      </c>
      <c r="S25" s="5" t="n">
        <f>(+(S17)+(S18)+(S19)+(S20)+(S21)+(S22)+(S23)+(S24))</f>
        <v>0.0</v>
      </c>
      <c r="T25" s="5" t="n">
        <f>(+(T17)+(T18)+(T19)+(T20)+(T21)+(T22)+(T23)+(T24))</f>
        <v>0.0</v>
      </c>
      <c r="U25" s="5" t="n">
        <f>(+(U17)+(U18)+(U19)+(U20)+(U21)+(U22)+(U23)+(U24))</f>
        <v>0.0</v>
      </c>
      <c r="V25" s="5" t="n">
        <f>(+(V17)+(V18)+(V19)+(V20)+(V21)+(V22)+(V23)+(V24))</f>
        <v>0.0</v>
      </c>
      <c r="W25" s="5" t="n">
        <f>(+(W17)+(W18)+(W19)+(W20)+(W21)+(W22)+(W23)+(W24))</f>
        <v>0.0</v>
      </c>
      <c r="X25" s="5" t="n">
        <f>(+(X17)+(X18)+(X19)+(X20)+(X21)+(X22)+(X23)+(X24))</f>
        <v>0.0</v>
      </c>
      <c r="Y25" s="5" t="n">
        <f>(+(Y17)+(Y18)+(Y19)+(Y20)+(Y21)+(Y22)+(Y23)+(Y24))</f>
        <v>0.0</v>
      </c>
    </row>
    <row r="27">
      <c r="A27" s="7" t="inlineStr">
        <is>
          <t xml:space="preserve">                    Projects Direct Operating Cost 52 - تكلفة المشاريع المباشرة</t>
        </is>
      </c>
      <c r="B27" s="7" t="inlineStr">
        <is>
          <t>52</t>
        </is>
      </c>
      <c r="C27" s="11" t="n">
        <v>0.0</v>
      </c>
      <c r="D27" s="11" t="n">
        <v>0.0</v>
      </c>
      <c r="E27" s="11" t="n">
        <v>0.0</v>
      </c>
      <c r="F27" s="11" t="n">
        <v>0.0</v>
      </c>
      <c r="G27" s="11" t="n">
        <v>0.0</v>
      </c>
      <c r="H27" s="11" t="n">
        <v>0.0</v>
      </c>
      <c r="I27" s="11" t="n">
        <v>0.0</v>
      </c>
      <c r="J27" s="11" t="n">
        <v>0.0</v>
      </c>
      <c r="K27" s="11" t="n">
        <v>0.0</v>
      </c>
      <c r="L27" s="11" t="n">
        <v>0.0</v>
      </c>
      <c r="M27" s="11" t="n">
        <v>0.0</v>
      </c>
      <c r="N27" s="11" t="n">
        <v>0.0</v>
      </c>
      <c r="O27" s="11" t="n">
        <v>0.0</v>
      </c>
      <c r="P27" s="11" t="n">
        <v>0.0</v>
      </c>
      <c r="Q27" s="11" t="n">
        <v>0.0</v>
      </c>
      <c r="R27" s="11" t="n">
        <v>0.0</v>
      </c>
      <c r="S27" s="11" t="n">
        <v>0.0</v>
      </c>
      <c r="T27" s="11" t="n">
        <v>0.0</v>
      </c>
      <c r="U27" s="11" t="n">
        <v>0.0</v>
      </c>
      <c r="V27" s="11" t="n">
        <v>0.0</v>
      </c>
      <c r="W27" s="11" t="n">
        <v>0.0</v>
      </c>
      <c r="X27" s="11" t="n">
        <v>0.0</v>
      </c>
      <c r="Y27" s="11" t="n">
        <v>0.0</v>
      </c>
    </row>
    <row r="28">
      <c r="A28" s="7" t="inlineStr">
        <is>
          <t xml:space="preserve">                              Other government fees - 510306 - رسوم حكومية أخرى</t>
        </is>
      </c>
      <c r="B28" s="7" t="inlineStr">
        <is>
          <t>510306</t>
        </is>
      </c>
      <c r="C28" s="11" t="n">
        <v>170154.0</v>
      </c>
      <c r="D28" s="11" t="n">
        <v>0.0</v>
      </c>
      <c r="E28" s="11" t="n">
        <v>0.0</v>
      </c>
      <c r="F28" s="11" t="n">
        <v>0.0</v>
      </c>
      <c r="G28" s="11" t="n">
        <v>0.0</v>
      </c>
      <c r="H28" s="11" t="n">
        <v>0.0</v>
      </c>
      <c r="I28" s="11" t="n">
        <v>0.0</v>
      </c>
      <c r="J28" s="11" t="n">
        <v>0.0</v>
      </c>
      <c r="K28" s="11" t="n">
        <v>0.0</v>
      </c>
      <c r="L28" s="11" t="n">
        <v>0.0</v>
      </c>
      <c r="M28" s="11" t="n">
        <v>0.0</v>
      </c>
      <c r="N28" s="11" t="n">
        <v>0.0</v>
      </c>
      <c r="O28" s="11" t="n">
        <v>0.0</v>
      </c>
      <c r="P28" s="11" t="n">
        <v>0.0</v>
      </c>
      <c r="Q28" s="11" t="n">
        <v>0.0</v>
      </c>
      <c r="R28" s="11" t="n">
        <v>170154.0</v>
      </c>
      <c r="S28" s="11" t="n">
        <v>0.0</v>
      </c>
      <c r="T28" s="11" t="n">
        <v>0.0</v>
      </c>
      <c r="U28" s="11" t="n">
        <v>0.0</v>
      </c>
      <c r="V28" s="11" t="n">
        <v>0.0</v>
      </c>
      <c r="W28" s="11" t="n">
        <v>0.0</v>
      </c>
      <c r="X28" s="11" t="n">
        <v>0.0</v>
      </c>
      <c r="Y28" s="11" t="n">
        <v>0.0</v>
      </c>
    </row>
    <row r="29">
      <c r="A29" s="7" t="inlineStr">
        <is>
          <t xml:space="preserve">                              Consultants fees - 520101 - اتعاب مستشارين</t>
        </is>
      </c>
      <c r="B29" s="7" t="inlineStr">
        <is>
          <t>520101</t>
        </is>
      </c>
      <c r="C29" s="11" t="n">
        <v>539919.0</v>
      </c>
      <c r="D29" s="11" t="n">
        <v>0.0</v>
      </c>
      <c r="E29" s="11" t="n">
        <v>0.0</v>
      </c>
      <c r="F29" s="11" t="n">
        <v>0.0</v>
      </c>
      <c r="G29" s="11" t="n">
        <v>0.0</v>
      </c>
      <c r="H29" s="11" t="n">
        <v>0.0</v>
      </c>
      <c r="I29" s="11" t="n">
        <v>0.0</v>
      </c>
      <c r="J29" s="11" t="n">
        <v>0.0</v>
      </c>
      <c r="K29" s="11" t="n">
        <v>60000.0</v>
      </c>
      <c r="L29" s="11" t="n">
        <v>0.0</v>
      </c>
      <c r="M29" s="11" t="n">
        <v>123400.0</v>
      </c>
      <c r="N29" s="11" t="n">
        <v>20200.0</v>
      </c>
      <c r="O29" s="11" t="n">
        <v>0.0</v>
      </c>
      <c r="P29" s="11" t="n">
        <v>331719.0</v>
      </c>
      <c r="Q29" s="11" t="n">
        <v>0.0</v>
      </c>
      <c r="R29" s="11" t="n">
        <v>0.0</v>
      </c>
      <c r="S29" s="11" t="n">
        <v>0.0</v>
      </c>
      <c r="T29" s="11" t="n">
        <v>0.0</v>
      </c>
      <c r="U29" s="11" t="n">
        <v>0.0</v>
      </c>
      <c r="V29" s="11" t="n">
        <v>4600.0</v>
      </c>
      <c r="W29" s="11" t="n">
        <v>0.0</v>
      </c>
      <c r="X29" s="11" t="n">
        <v>0.0</v>
      </c>
      <c r="Y29" s="11" t="n">
        <v>0.0</v>
      </c>
    </row>
    <row r="30">
      <c r="A30" s="7" t="inlineStr">
        <is>
          <t xml:space="preserve">                              Facilitators fees - 520102 - اتعاب ميسرين</t>
        </is>
      </c>
      <c r="B30" s="7" t="inlineStr">
        <is>
          <t>520102</t>
        </is>
      </c>
      <c r="C30" s="11" t="n">
        <v>93767.0</v>
      </c>
      <c r="D30" s="11" t="n">
        <v>0.0</v>
      </c>
      <c r="E30" s="11" t="n">
        <v>0.0</v>
      </c>
      <c r="F30" s="11" t="n">
        <v>0.0</v>
      </c>
      <c r="G30" s="11" t="n">
        <v>0.0</v>
      </c>
      <c r="H30" s="11" t="n">
        <v>0.0</v>
      </c>
      <c r="I30" s="11" t="n">
        <v>0.0</v>
      </c>
      <c r="J30" s="11" t="n">
        <v>0.0</v>
      </c>
      <c r="K30" s="11" t="n">
        <v>0.0</v>
      </c>
      <c r="L30" s="11" t="n">
        <v>0.0</v>
      </c>
      <c r="M30" s="11" t="n">
        <v>4379.0</v>
      </c>
      <c r="N30" s="11" t="n">
        <v>0.0</v>
      </c>
      <c r="O30" s="11" t="n">
        <v>0.0</v>
      </c>
      <c r="P30" s="11" t="n">
        <v>75088.0</v>
      </c>
      <c r="Q30" s="11" t="n">
        <v>0.0</v>
      </c>
      <c r="R30" s="11" t="n">
        <v>0.0</v>
      </c>
      <c r="S30" s="11" t="n">
        <v>0.0</v>
      </c>
      <c r="T30" s="11" t="n">
        <v>3300.0</v>
      </c>
      <c r="U30" s="11" t="n">
        <v>0.0</v>
      </c>
      <c r="V30" s="11" t="n">
        <v>0.0</v>
      </c>
      <c r="W30" s="11" t="n">
        <v>11000.0</v>
      </c>
      <c r="X30" s="11" t="n">
        <v>0.0</v>
      </c>
      <c r="Y30" s="11" t="n">
        <v>0.0</v>
      </c>
    </row>
    <row r="31">
      <c r="A31" s="7" t="inlineStr">
        <is>
          <t xml:space="preserve">                              Co-operators fees - 520103 - اتعاب متعاوني مشاريع</t>
        </is>
      </c>
      <c r="B31" s="7" t="inlineStr">
        <is>
          <t>520103</t>
        </is>
      </c>
      <c r="C31" s="11" t="n">
        <v>1302451.23</v>
      </c>
      <c r="D31" s="11" t="n">
        <v>186753.0</v>
      </c>
      <c r="E31" s="11" t="n">
        <v>0.0</v>
      </c>
      <c r="F31" s="11" t="n">
        <v>0.0</v>
      </c>
      <c r="G31" s="11" t="n">
        <v>0.0</v>
      </c>
      <c r="H31" s="11" t="n">
        <v>0.0</v>
      </c>
      <c r="I31" s="11" t="n">
        <v>0.0</v>
      </c>
      <c r="J31" s="11" t="n">
        <v>0.0</v>
      </c>
      <c r="K31" s="11" t="n">
        <v>9000.0</v>
      </c>
      <c r="L31" s="11" t="n">
        <v>25000.0</v>
      </c>
      <c r="M31" s="11" t="n">
        <v>180201.0</v>
      </c>
      <c r="N31" s="11" t="n">
        <v>586845.0</v>
      </c>
      <c r="O31" s="11" t="n">
        <v>0.0</v>
      </c>
      <c r="P31" s="11" t="n">
        <v>166328.0</v>
      </c>
      <c r="Q31" s="11" t="n">
        <v>14050.0</v>
      </c>
      <c r="R31" s="11" t="n">
        <v>38595.35</v>
      </c>
      <c r="S31" s="11" t="n">
        <v>40500.0</v>
      </c>
      <c r="T31" s="11" t="n">
        <v>27500.0</v>
      </c>
      <c r="U31" s="11" t="n">
        <v>0.0</v>
      </c>
      <c r="V31" s="11" t="n">
        <v>0.0</v>
      </c>
      <c r="W31" s="11" t="n">
        <v>3650.0</v>
      </c>
      <c r="X31" s="11" t="n">
        <v>24028.88</v>
      </c>
      <c r="Y31" s="11" t="n">
        <v>0.0</v>
      </c>
    </row>
    <row r="32">
      <c r="A32" s="7" t="inlineStr">
        <is>
          <t xml:space="preserve">                              Event organizers fees - 520104 - اتعاب منظمي فعاليات</t>
        </is>
      </c>
      <c r="B32" s="7" t="inlineStr">
        <is>
          <t>520104</t>
        </is>
      </c>
      <c r="C32" s="11" t="n">
        <v>41827.21</v>
      </c>
      <c r="D32" s="11" t="n">
        <v>0.0</v>
      </c>
      <c r="E32" s="11" t="n">
        <v>0.0</v>
      </c>
      <c r="F32" s="11" t="n">
        <v>0.0</v>
      </c>
      <c r="G32" s="11" t="n">
        <v>0.0</v>
      </c>
      <c r="H32" s="11" t="n">
        <v>0.0</v>
      </c>
      <c r="I32" s="11" t="n">
        <v>0.0</v>
      </c>
      <c r="J32" s="11" t="n">
        <v>0.0</v>
      </c>
      <c r="K32" s="11" t="n">
        <v>0.0</v>
      </c>
      <c r="L32" s="11" t="n">
        <v>0.0</v>
      </c>
      <c r="M32" s="11" t="n">
        <v>0.0</v>
      </c>
      <c r="N32" s="11" t="n">
        <v>0.0</v>
      </c>
      <c r="O32" s="11" t="n">
        <v>0.0</v>
      </c>
      <c r="P32" s="11" t="n">
        <v>0.0</v>
      </c>
      <c r="Q32" s="11" t="n">
        <v>0.0</v>
      </c>
      <c r="R32" s="11" t="n">
        <v>0.0</v>
      </c>
      <c r="S32" s="11" t="n">
        <v>0.0</v>
      </c>
      <c r="T32" s="11" t="n">
        <v>0.0</v>
      </c>
      <c r="U32" s="11" t="n">
        <v>0.0</v>
      </c>
      <c r="V32" s="11" t="n">
        <v>0.0</v>
      </c>
      <c r="W32" s="11" t="n">
        <v>0.0</v>
      </c>
      <c r="X32" s="11" t="n">
        <v>41827.21</v>
      </c>
      <c r="Y32" s="11" t="n">
        <v>0.0</v>
      </c>
    </row>
    <row r="33">
      <c r="A33" s="7" t="inlineStr">
        <is>
          <t xml:space="preserve">                              Logistic &amp; transportation fees - 520105 - اتعاب لوجستية ونقل</t>
        </is>
      </c>
      <c r="B33" s="7" t="inlineStr">
        <is>
          <t>520105</t>
        </is>
      </c>
      <c r="C33" s="11" t="n">
        <v>26250.25</v>
      </c>
      <c r="D33" s="11" t="n">
        <v>0.0</v>
      </c>
      <c r="E33" s="11" t="n">
        <v>0.0</v>
      </c>
      <c r="F33" s="11" t="n">
        <v>0.0</v>
      </c>
      <c r="G33" s="11" t="n">
        <v>0.0</v>
      </c>
      <c r="H33" s="11" t="n">
        <v>0.0</v>
      </c>
      <c r="I33" s="11" t="n">
        <v>0.0</v>
      </c>
      <c r="J33" s="11" t="n">
        <v>0.0</v>
      </c>
      <c r="K33" s="11" t="n">
        <v>0.0</v>
      </c>
      <c r="L33" s="11" t="n">
        <v>0.0</v>
      </c>
      <c r="M33" s="11" t="n">
        <v>6723.25</v>
      </c>
      <c r="N33" s="11" t="n">
        <v>0.0</v>
      </c>
      <c r="O33" s="11" t="n">
        <v>0.0</v>
      </c>
      <c r="P33" s="11" t="n">
        <v>8800.0</v>
      </c>
      <c r="Q33" s="11" t="n">
        <v>2000.0</v>
      </c>
      <c r="R33" s="11" t="n">
        <v>5227.0</v>
      </c>
      <c r="S33" s="11" t="n">
        <v>0.0</v>
      </c>
      <c r="T33" s="11" t="n">
        <v>1700.0</v>
      </c>
      <c r="U33" s="11" t="n">
        <v>0.0</v>
      </c>
      <c r="V33" s="11" t="n">
        <v>0.0</v>
      </c>
      <c r="W33" s="11" t="n">
        <v>1550.0</v>
      </c>
      <c r="X33" s="11" t="n">
        <v>250.0</v>
      </c>
      <c r="Y33" s="11" t="n">
        <v>0.0</v>
      </c>
    </row>
    <row r="34">
      <c r="A34" s="7" t="inlineStr">
        <is>
          <t xml:space="preserve">                              Consultation fees - 520108 - اتعاب استشارات</t>
        </is>
      </c>
      <c r="B34" s="7" t="inlineStr">
        <is>
          <t>520108</t>
        </is>
      </c>
      <c r="C34" s="11" t="n">
        <v>1.143273557E7</v>
      </c>
      <c r="D34" s="11" t="n">
        <v>122673.73</v>
      </c>
      <c r="E34" s="11" t="n">
        <v>0.0</v>
      </c>
      <c r="F34" s="11" t="n">
        <v>0.0</v>
      </c>
      <c r="G34" s="11" t="n">
        <v>0.0</v>
      </c>
      <c r="H34" s="11" t="n">
        <v>0.0</v>
      </c>
      <c r="I34" s="11" t="n">
        <v>0.0</v>
      </c>
      <c r="J34" s="11" t="n">
        <v>5519401.2</v>
      </c>
      <c r="K34" s="11" t="n">
        <v>225000.0</v>
      </c>
      <c r="L34" s="11" t="n">
        <v>387500.0</v>
      </c>
      <c r="M34" s="11" t="n">
        <v>0.0</v>
      </c>
      <c r="N34" s="11" t="n">
        <v>426343.7</v>
      </c>
      <c r="O34" s="11" t="n">
        <v>3424735.31</v>
      </c>
      <c r="P34" s="11" t="n">
        <v>0.0</v>
      </c>
      <c r="Q34" s="11" t="n">
        <v>135896.63</v>
      </c>
      <c r="R34" s="11" t="n">
        <v>1191185.0</v>
      </c>
      <c r="S34" s="11" t="n">
        <v>0.0</v>
      </c>
      <c r="T34" s="11" t="n">
        <v>0.0</v>
      </c>
      <c r="U34" s="11" t="n">
        <v>0.0</v>
      </c>
      <c r="V34" s="11" t="n">
        <v>0.0</v>
      </c>
      <c r="W34" s="11" t="n">
        <v>0.0</v>
      </c>
      <c r="X34" s="11" t="n">
        <v>0.0</v>
      </c>
      <c r="Y34" s="11" t="n">
        <v>0.0</v>
      </c>
    </row>
    <row r="35">
      <c r="A35" s="7" t="inlineStr">
        <is>
          <t xml:space="preserve">                              Production fees - 520110 - اتعاب انتاج</t>
        </is>
      </c>
      <c r="B35" s="7" t="inlineStr">
        <is>
          <t>520110</t>
        </is>
      </c>
      <c r="C35" s="11" t="n">
        <v>191984.35</v>
      </c>
      <c r="D35" s="11" t="n">
        <v>0.0</v>
      </c>
      <c r="E35" s="11" t="n">
        <v>0.0</v>
      </c>
      <c r="F35" s="11" t="n">
        <v>0.0</v>
      </c>
      <c r="G35" s="11" t="n">
        <v>0.0</v>
      </c>
      <c r="H35" s="11" t="n">
        <v>0.0</v>
      </c>
      <c r="I35" s="11" t="n">
        <v>0.0</v>
      </c>
      <c r="J35" s="11" t="n">
        <v>0.0</v>
      </c>
      <c r="K35" s="11" t="n">
        <v>2150.0</v>
      </c>
      <c r="L35" s="11" t="n">
        <v>188804.35</v>
      </c>
      <c r="M35" s="11" t="n">
        <v>0.0</v>
      </c>
      <c r="N35" s="11" t="n">
        <v>0.0</v>
      </c>
      <c r="O35" s="11" t="n">
        <v>0.0</v>
      </c>
      <c r="P35" s="11" t="n">
        <v>0.0</v>
      </c>
      <c r="Q35" s="11" t="n">
        <v>0.0</v>
      </c>
      <c r="R35" s="11" t="n">
        <v>0.0</v>
      </c>
      <c r="S35" s="11" t="n">
        <v>0.0</v>
      </c>
      <c r="T35" s="11" t="n">
        <v>1030.0</v>
      </c>
      <c r="U35" s="11" t="n">
        <v>0.0</v>
      </c>
      <c r="V35" s="11" t="n">
        <v>0.0</v>
      </c>
      <c r="W35" s="11" t="n">
        <v>0.0</v>
      </c>
      <c r="X35" s="11" t="n">
        <v>0.0</v>
      </c>
      <c r="Y35" s="11" t="n">
        <v>0.0</v>
      </c>
    </row>
    <row r="36">
      <c r="A36" s="7" t="inlineStr">
        <is>
          <t xml:space="preserve">                              coaches fees - 520111 - اتعاب مدربين</t>
        </is>
      </c>
      <c r="B36" s="7" t="inlineStr">
        <is>
          <t xml:space="preserve">520111 </t>
        </is>
      </c>
      <c r="C36" s="11" t="n">
        <v>139924.9</v>
      </c>
      <c r="D36" s="11" t="n">
        <v>0.0</v>
      </c>
      <c r="E36" s="11" t="n">
        <v>0.0</v>
      </c>
      <c r="F36" s="11" t="n">
        <v>0.0</v>
      </c>
      <c r="G36" s="11" t="n">
        <v>0.0</v>
      </c>
      <c r="H36" s="11" t="n">
        <v>0.0</v>
      </c>
      <c r="I36" s="11" t="n">
        <v>0.0</v>
      </c>
      <c r="J36" s="11" t="n">
        <v>0.0</v>
      </c>
      <c r="K36" s="11" t="n">
        <v>0.0</v>
      </c>
      <c r="L36" s="11" t="n">
        <v>0.0</v>
      </c>
      <c r="M36" s="11" t="n">
        <v>0.0</v>
      </c>
      <c r="N36" s="11" t="n">
        <v>0.0</v>
      </c>
      <c r="O36" s="11" t="n">
        <v>0.0</v>
      </c>
      <c r="P36" s="11" t="n">
        <v>139924.9</v>
      </c>
      <c r="Q36" s="11" t="n">
        <v>0.0</v>
      </c>
      <c r="R36" s="11" t="n">
        <v>0.0</v>
      </c>
      <c r="S36" s="11" t="n">
        <v>0.0</v>
      </c>
      <c r="T36" s="11" t="n">
        <v>0.0</v>
      </c>
      <c r="U36" s="11" t="n">
        <v>0.0</v>
      </c>
      <c r="V36" s="11" t="n">
        <v>0.0</v>
      </c>
      <c r="W36" s="11" t="n">
        <v>0.0</v>
      </c>
      <c r="X36" s="11" t="n">
        <v>0.0</v>
      </c>
      <c r="Y36" s="11" t="n">
        <v>0.0</v>
      </c>
    </row>
    <row r="37">
      <c r="A37" s="7" t="inlineStr">
        <is>
          <t xml:space="preserve">                              Employee perdeim - 520201 - انتدابات موظفين</t>
        </is>
      </c>
      <c r="B37" s="7" t="inlineStr">
        <is>
          <t>520201</t>
        </is>
      </c>
      <c r="C37" s="11" t="n">
        <v>22146.0</v>
      </c>
      <c r="D37" s="11" t="n">
        <v>0.0</v>
      </c>
      <c r="E37" s="11" t="n">
        <v>0.0</v>
      </c>
      <c r="F37" s="11" t="n">
        <v>0.0</v>
      </c>
      <c r="G37" s="11" t="n">
        <v>0.0</v>
      </c>
      <c r="H37" s="11" t="n">
        <v>0.0</v>
      </c>
      <c r="I37" s="11" t="n">
        <v>0.0</v>
      </c>
      <c r="J37" s="11" t="n">
        <v>0.0</v>
      </c>
      <c r="K37" s="11" t="n">
        <v>0.0</v>
      </c>
      <c r="L37" s="11" t="n">
        <v>0.0</v>
      </c>
      <c r="M37" s="11" t="n">
        <v>0.0</v>
      </c>
      <c r="N37" s="11" t="n">
        <v>0.0</v>
      </c>
      <c r="O37" s="11" t="n">
        <v>0.0</v>
      </c>
      <c r="P37" s="11" t="n">
        <v>0.0</v>
      </c>
      <c r="Q37" s="11" t="n">
        <v>18250.0</v>
      </c>
      <c r="R37" s="11" t="n">
        <v>0.0</v>
      </c>
      <c r="S37" s="11" t="n">
        <v>0.0</v>
      </c>
      <c r="T37" s="11" t="n">
        <v>3896.0</v>
      </c>
      <c r="U37" s="11" t="n">
        <v>0.0</v>
      </c>
      <c r="V37" s="11" t="n">
        <v>0.0</v>
      </c>
      <c r="W37" s="11" t="n">
        <v>0.0</v>
      </c>
      <c r="X37" s="11" t="n">
        <v>0.0</v>
      </c>
      <c r="Y37" s="11" t="n">
        <v>0.0</v>
      </c>
    </row>
    <row r="38">
      <c r="A38" s="7" t="inlineStr">
        <is>
          <t xml:space="preserve">                              Co-operators perdiem - 520202 - انتدابات متعاونين</t>
        </is>
      </c>
      <c r="B38" s="7" t="inlineStr">
        <is>
          <t>520202</t>
        </is>
      </c>
      <c r="C38" s="11" t="n">
        <v>2800.0</v>
      </c>
      <c r="D38" s="11" t="n">
        <v>0.0</v>
      </c>
      <c r="E38" s="11" t="n">
        <v>0.0</v>
      </c>
      <c r="F38" s="11" t="n">
        <v>0.0</v>
      </c>
      <c r="G38" s="11" t="n">
        <v>0.0</v>
      </c>
      <c r="H38" s="11" t="n">
        <v>0.0</v>
      </c>
      <c r="I38" s="11" t="n">
        <v>0.0</v>
      </c>
      <c r="J38" s="11" t="n">
        <v>0.0</v>
      </c>
      <c r="K38" s="11" t="n">
        <v>0.0</v>
      </c>
      <c r="L38" s="11" t="n">
        <v>0.0</v>
      </c>
      <c r="M38" s="11" t="n">
        <v>0.0</v>
      </c>
      <c r="N38" s="11" t="n">
        <v>0.0</v>
      </c>
      <c r="O38" s="11" t="n">
        <v>0.0</v>
      </c>
      <c r="P38" s="11" t="n">
        <v>0.0</v>
      </c>
      <c r="Q38" s="11" t="n">
        <v>0.0</v>
      </c>
      <c r="R38" s="11" t="n">
        <v>0.0</v>
      </c>
      <c r="S38" s="11" t="n">
        <v>0.0</v>
      </c>
      <c r="T38" s="11" t="n">
        <v>2800.0</v>
      </c>
      <c r="U38" s="11" t="n">
        <v>0.0</v>
      </c>
      <c r="V38" s="11" t="n">
        <v>0.0</v>
      </c>
      <c r="W38" s="11" t="n">
        <v>0.0</v>
      </c>
      <c r="X38" s="11" t="n">
        <v>0.0</v>
      </c>
      <c r="Y38" s="11" t="n">
        <v>0.0</v>
      </c>
    </row>
    <row r="39">
      <c r="A39" s="7" t="inlineStr">
        <is>
          <t xml:space="preserve">                              Employee tickets - 520301 - تذاكر موظفين</t>
        </is>
      </c>
      <c r="B39" s="7" t="inlineStr">
        <is>
          <t>520301</t>
        </is>
      </c>
      <c r="C39" s="11" t="n">
        <v>3554.98</v>
      </c>
      <c r="D39" s="11" t="n">
        <v>0.0</v>
      </c>
      <c r="E39" s="11" t="n">
        <v>0.0</v>
      </c>
      <c r="F39" s="11" t="n">
        <v>0.0</v>
      </c>
      <c r="G39" s="11" t="n">
        <v>0.0</v>
      </c>
      <c r="H39" s="11" t="n">
        <v>0.0</v>
      </c>
      <c r="I39" s="11" t="n">
        <v>0.0</v>
      </c>
      <c r="J39" s="11" t="n">
        <v>0.0</v>
      </c>
      <c r="K39" s="11" t="n">
        <v>0.0</v>
      </c>
      <c r="L39" s="11" t="n">
        <v>0.0</v>
      </c>
      <c r="M39" s="11" t="n">
        <v>0.0</v>
      </c>
      <c r="N39" s="11" t="n">
        <v>0.0</v>
      </c>
      <c r="O39" s="11" t="n">
        <v>0.0</v>
      </c>
      <c r="P39" s="11" t="n">
        <v>0.0</v>
      </c>
      <c r="Q39" s="11" t="n">
        <v>2985.98</v>
      </c>
      <c r="R39" s="11" t="n">
        <v>0.0</v>
      </c>
      <c r="S39" s="11" t="n">
        <v>0.0</v>
      </c>
      <c r="T39" s="11" t="n">
        <v>569.0</v>
      </c>
      <c r="U39" s="11" t="n">
        <v>0.0</v>
      </c>
      <c r="V39" s="11" t="n">
        <v>0.0</v>
      </c>
      <c r="W39" s="11" t="n">
        <v>0.0</v>
      </c>
      <c r="X39" s="11" t="n">
        <v>0.0</v>
      </c>
      <c r="Y39" s="11" t="n">
        <v>0.0</v>
      </c>
    </row>
    <row r="40">
      <c r="A40" s="7" t="inlineStr">
        <is>
          <t xml:space="preserve">                              Co-operators tickets - 520302 - تذاكر متعاونين</t>
        </is>
      </c>
      <c r="B40" s="7" t="inlineStr">
        <is>
          <t>520302</t>
        </is>
      </c>
      <c r="C40" s="11" t="n">
        <v>19244.0</v>
      </c>
      <c r="D40" s="11" t="n">
        <v>0.0</v>
      </c>
      <c r="E40" s="11" t="n">
        <v>0.0</v>
      </c>
      <c r="F40" s="11" t="n">
        <v>0.0</v>
      </c>
      <c r="G40" s="11" t="n">
        <v>0.0</v>
      </c>
      <c r="H40" s="11" t="n">
        <v>0.0</v>
      </c>
      <c r="I40" s="11" t="n">
        <v>0.0</v>
      </c>
      <c r="J40" s="11" t="n">
        <v>0.0</v>
      </c>
      <c r="K40" s="11" t="n">
        <v>0.0</v>
      </c>
      <c r="L40" s="11" t="n">
        <v>0.0</v>
      </c>
      <c r="M40" s="11" t="n">
        <v>0.0</v>
      </c>
      <c r="N40" s="11" t="n">
        <v>0.0</v>
      </c>
      <c r="O40" s="11" t="n">
        <v>0.0</v>
      </c>
      <c r="P40" s="11" t="n">
        <v>0.0</v>
      </c>
      <c r="Q40" s="11" t="n">
        <v>0.0</v>
      </c>
      <c r="R40" s="11" t="n">
        <v>19244.0</v>
      </c>
      <c r="S40" s="11" t="n">
        <v>0.0</v>
      </c>
      <c r="T40" s="11" t="n">
        <v>0.0</v>
      </c>
      <c r="U40" s="11" t="n">
        <v>0.0</v>
      </c>
      <c r="V40" s="11" t="n">
        <v>0.0</v>
      </c>
      <c r="W40" s="11" t="n">
        <v>0.0</v>
      </c>
      <c r="X40" s="11" t="n">
        <v>0.0</v>
      </c>
      <c r="Y40" s="11" t="n">
        <v>0.0</v>
      </c>
    </row>
    <row r="41">
      <c r="A41" s="7" t="inlineStr">
        <is>
          <t xml:space="preserve">                              Co-operators transportation - 520402 - مواصلات متعاونين</t>
        </is>
      </c>
      <c r="B41" s="7" t="inlineStr">
        <is>
          <t>520402</t>
        </is>
      </c>
      <c r="C41" s="11" t="n">
        <v>2220.0</v>
      </c>
      <c r="D41" s="11" t="n">
        <v>0.0</v>
      </c>
      <c r="E41" s="11" t="n">
        <v>0.0</v>
      </c>
      <c r="F41" s="11" t="n">
        <v>0.0</v>
      </c>
      <c r="G41" s="11" t="n">
        <v>0.0</v>
      </c>
      <c r="H41" s="11" t="n">
        <v>0.0</v>
      </c>
      <c r="I41" s="11" t="n">
        <v>0.0</v>
      </c>
      <c r="J41" s="11" t="n">
        <v>0.0</v>
      </c>
      <c r="K41" s="11" t="n">
        <v>2220.0</v>
      </c>
      <c r="L41" s="11" t="n">
        <v>0.0</v>
      </c>
      <c r="M41" s="11" t="n">
        <v>0.0</v>
      </c>
      <c r="N41" s="11" t="n">
        <v>0.0</v>
      </c>
      <c r="O41" s="11" t="n">
        <v>0.0</v>
      </c>
      <c r="P41" s="11" t="n">
        <v>0.0</v>
      </c>
      <c r="Q41" s="11" t="n">
        <v>0.0</v>
      </c>
      <c r="R41" s="11" t="n">
        <v>0.0</v>
      </c>
      <c r="S41" s="11" t="n">
        <v>0.0</v>
      </c>
      <c r="T41" s="11" t="n">
        <v>0.0</v>
      </c>
      <c r="U41" s="11" t="n">
        <v>0.0</v>
      </c>
      <c r="V41" s="11" t="n">
        <v>0.0</v>
      </c>
      <c r="W41" s="11" t="n">
        <v>0.0</v>
      </c>
      <c r="X41" s="11" t="n">
        <v>0.0</v>
      </c>
      <c r="Y41" s="11" t="n">
        <v>0.0</v>
      </c>
    </row>
    <row r="42">
      <c r="A42" s="7" t="inlineStr">
        <is>
          <t xml:space="preserve">                              Hospitality - 520501 - ضيافة</t>
        </is>
      </c>
      <c r="B42" s="7" t="inlineStr">
        <is>
          <t>520501</t>
        </is>
      </c>
      <c r="C42" s="11" t="n">
        <v>184165.46</v>
      </c>
      <c r="D42" s="11" t="n">
        <v>0.0</v>
      </c>
      <c r="E42" s="11" t="n">
        <v>0.0</v>
      </c>
      <c r="F42" s="11" t="n">
        <v>0.0</v>
      </c>
      <c r="G42" s="11" t="n">
        <v>0.0</v>
      </c>
      <c r="H42" s="11" t="n">
        <v>0.0</v>
      </c>
      <c r="I42" s="11" t="n">
        <v>0.0</v>
      </c>
      <c r="J42" s="11" t="n">
        <v>0.0</v>
      </c>
      <c r="K42" s="11" t="n">
        <v>0.0</v>
      </c>
      <c r="L42" s="11" t="n">
        <v>0.0</v>
      </c>
      <c r="M42" s="11" t="n">
        <v>19845.0</v>
      </c>
      <c r="N42" s="11" t="n">
        <v>81414.62</v>
      </c>
      <c r="O42" s="11" t="n">
        <v>0.0</v>
      </c>
      <c r="P42" s="11" t="n">
        <v>78044.07</v>
      </c>
      <c r="Q42" s="11" t="n">
        <v>0.0</v>
      </c>
      <c r="R42" s="11" t="n">
        <v>0.0</v>
      </c>
      <c r="S42" s="11" t="n">
        <v>0.0</v>
      </c>
      <c r="T42" s="11" t="n">
        <v>4582.44</v>
      </c>
      <c r="U42" s="11" t="n">
        <v>0.0</v>
      </c>
      <c r="V42" s="11" t="n">
        <v>0.0</v>
      </c>
      <c r="W42" s="11" t="n">
        <v>0.0</v>
      </c>
      <c r="X42" s="11" t="n">
        <v>279.33</v>
      </c>
      <c r="Y42" s="11" t="n">
        <v>0.0</v>
      </c>
    </row>
    <row r="43">
      <c r="A43" s="7" t="inlineStr">
        <is>
          <t xml:space="preserve">                              Hospitality preparation fees - 520502 - اتعاب تجهيزات ورش العمل و الضيافة</t>
        </is>
      </c>
      <c r="B43" s="7" t="inlineStr">
        <is>
          <t>520502</t>
        </is>
      </c>
      <c r="C43" s="11" t="n">
        <v>800.0</v>
      </c>
      <c r="D43" s="11" t="n">
        <v>0.0</v>
      </c>
      <c r="E43" s="11" t="n">
        <v>0.0</v>
      </c>
      <c r="F43" s="11" t="n">
        <v>0.0</v>
      </c>
      <c r="G43" s="11" t="n">
        <v>0.0</v>
      </c>
      <c r="H43" s="11" t="n">
        <v>0.0</v>
      </c>
      <c r="I43" s="11" t="n">
        <v>0.0</v>
      </c>
      <c r="J43" s="11" t="n">
        <v>0.0</v>
      </c>
      <c r="K43" s="11" t="n">
        <v>0.0</v>
      </c>
      <c r="L43" s="11" t="n">
        <v>0.0</v>
      </c>
      <c r="M43" s="11" t="n">
        <v>0.0</v>
      </c>
      <c r="N43" s="11" t="n">
        <v>0.0</v>
      </c>
      <c r="O43" s="11" t="n">
        <v>0.0</v>
      </c>
      <c r="P43" s="11" t="n">
        <v>0.0</v>
      </c>
      <c r="Q43" s="11" t="n">
        <v>0.0</v>
      </c>
      <c r="R43" s="11" t="n">
        <v>0.0</v>
      </c>
      <c r="S43" s="11" t="n">
        <v>0.0</v>
      </c>
      <c r="T43" s="11" t="n">
        <v>800.0</v>
      </c>
      <c r="U43" s="11" t="n">
        <v>0.0</v>
      </c>
      <c r="V43" s="11" t="n">
        <v>0.0</v>
      </c>
      <c r="W43" s="11" t="n">
        <v>0.0</v>
      </c>
      <c r="X43" s="11" t="n">
        <v>0.0</v>
      </c>
      <c r="Y43" s="11" t="n">
        <v>0.0</v>
      </c>
    </row>
    <row r="44">
      <c r="A44" s="7" t="inlineStr">
        <is>
          <t xml:space="preserve">                              Workshop hall rent - 520601 - ايجار قاعات ورش عمل</t>
        </is>
      </c>
      <c r="B44" s="7" t="inlineStr">
        <is>
          <t>520601</t>
        </is>
      </c>
      <c r="C44" s="11" t="n">
        <v>42978.83</v>
      </c>
      <c r="D44" s="11" t="n">
        <v>0.0</v>
      </c>
      <c r="E44" s="11" t="n">
        <v>0.0</v>
      </c>
      <c r="F44" s="11" t="n">
        <v>0.0</v>
      </c>
      <c r="G44" s="11" t="n">
        <v>0.0</v>
      </c>
      <c r="H44" s="11" t="n">
        <v>0.0</v>
      </c>
      <c r="I44" s="11" t="n">
        <v>0.0</v>
      </c>
      <c r="J44" s="11" t="n">
        <v>0.0</v>
      </c>
      <c r="K44" s="11" t="n">
        <v>0.0</v>
      </c>
      <c r="L44" s="11" t="n">
        <v>0.0</v>
      </c>
      <c r="M44" s="11" t="n">
        <v>0.0</v>
      </c>
      <c r="N44" s="11" t="n">
        <v>20750.0</v>
      </c>
      <c r="O44" s="11" t="n">
        <v>0.0</v>
      </c>
      <c r="P44" s="11" t="n">
        <v>0.0</v>
      </c>
      <c r="Q44" s="11" t="n">
        <v>0.0</v>
      </c>
      <c r="R44" s="11" t="n">
        <v>0.0</v>
      </c>
      <c r="S44" s="11" t="n">
        <v>0.0</v>
      </c>
      <c r="T44" s="11" t="n">
        <v>22228.83</v>
      </c>
      <c r="U44" s="11" t="n">
        <v>0.0</v>
      </c>
      <c r="V44" s="11" t="n">
        <v>0.0</v>
      </c>
      <c r="W44" s="11" t="n">
        <v>0.0</v>
      </c>
      <c r="X44" s="11" t="n">
        <v>0.0</v>
      </c>
      <c r="Y44" s="11" t="n">
        <v>0.0</v>
      </c>
    </row>
    <row r="45">
      <c r="A45" s="7" t="inlineStr">
        <is>
          <t xml:space="preserve">                              Rental of banquet halls and meetings - 520602 - ايجار قاعات حفلات وملتقيات</t>
        </is>
      </c>
      <c r="B45" s="7" t="inlineStr">
        <is>
          <t>520602</t>
        </is>
      </c>
      <c r="C45" s="11" t="n">
        <v>39930.0</v>
      </c>
      <c r="D45" s="11" t="n">
        <v>0.0</v>
      </c>
      <c r="E45" s="11" t="n">
        <v>0.0</v>
      </c>
      <c r="F45" s="11" t="n">
        <v>0.0</v>
      </c>
      <c r="G45" s="11" t="n">
        <v>0.0</v>
      </c>
      <c r="H45" s="11" t="n">
        <v>0.0</v>
      </c>
      <c r="I45" s="11" t="n">
        <v>0.0</v>
      </c>
      <c r="J45" s="11" t="n">
        <v>0.0</v>
      </c>
      <c r="K45" s="11" t="n">
        <v>4600.0</v>
      </c>
      <c r="L45" s="11" t="n">
        <v>0.0</v>
      </c>
      <c r="M45" s="11" t="n">
        <v>7935.0</v>
      </c>
      <c r="N45" s="11" t="n">
        <v>27395.0</v>
      </c>
      <c r="O45" s="11" t="n">
        <v>0.0</v>
      </c>
      <c r="P45" s="11" t="n">
        <v>0.0</v>
      </c>
      <c r="Q45" s="11" t="n">
        <v>0.0</v>
      </c>
      <c r="R45" s="11" t="n">
        <v>0.0</v>
      </c>
      <c r="S45" s="11" t="n">
        <v>0.0</v>
      </c>
      <c r="T45" s="11" t="n">
        <v>0.0</v>
      </c>
      <c r="U45" s="11" t="n">
        <v>0.0</v>
      </c>
      <c r="V45" s="11" t="n">
        <v>0.0</v>
      </c>
      <c r="W45" s="11" t="n">
        <v>0.0</v>
      </c>
      <c r="X45" s="11" t="n">
        <v>0.0</v>
      </c>
      <c r="Y45" s="11" t="n">
        <v>0.0</v>
      </c>
    </row>
    <row r="46">
      <c r="A46" s="7" t="inlineStr">
        <is>
          <t xml:space="preserve">                              Hotel accommodation - 520603 - إقامة فندقية</t>
        </is>
      </c>
      <c r="B46" s="7" t="inlineStr">
        <is>
          <t>520603</t>
        </is>
      </c>
      <c r="C46" s="11" t="n">
        <v>182588.38</v>
      </c>
      <c r="D46" s="11" t="n">
        <v>0.0</v>
      </c>
      <c r="E46" s="11" t="n">
        <v>0.0</v>
      </c>
      <c r="F46" s="11" t="n">
        <v>0.0</v>
      </c>
      <c r="G46" s="11" t="n">
        <v>0.0</v>
      </c>
      <c r="H46" s="11" t="n">
        <v>0.0</v>
      </c>
      <c r="I46" s="11" t="n">
        <v>0.0</v>
      </c>
      <c r="J46" s="11" t="n">
        <v>0.0</v>
      </c>
      <c r="K46" s="11" t="n">
        <v>0.0</v>
      </c>
      <c r="L46" s="11" t="n">
        <v>0.0</v>
      </c>
      <c r="M46" s="11" t="n">
        <v>0.0</v>
      </c>
      <c r="N46" s="11" t="n">
        <v>176550.88</v>
      </c>
      <c r="O46" s="11" t="n">
        <v>0.0</v>
      </c>
      <c r="P46" s="11" t="n">
        <v>0.0</v>
      </c>
      <c r="Q46" s="11" t="n">
        <v>0.0</v>
      </c>
      <c r="R46" s="11" t="n">
        <v>6037.5</v>
      </c>
      <c r="S46" s="11" t="n">
        <v>0.0</v>
      </c>
      <c r="T46" s="11" t="n">
        <v>0.0</v>
      </c>
      <c r="U46" s="11" t="n">
        <v>0.0</v>
      </c>
      <c r="V46" s="11" t="n">
        <v>0.0</v>
      </c>
      <c r="W46" s="11" t="n">
        <v>0.0</v>
      </c>
      <c r="X46" s="11" t="n">
        <v>0.0</v>
      </c>
      <c r="Y46" s="11" t="n">
        <v>0.0</v>
      </c>
    </row>
    <row r="47">
      <c r="A47" s="7" t="inlineStr">
        <is>
          <t xml:space="preserve">                              Furniture rental - 520701 - استئجار اثاث</t>
        </is>
      </c>
      <c r="B47" s="7" t="inlineStr">
        <is>
          <t>520701</t>
        </is>
      </c>
      <c r="C47" s="11" t="n">
        <v>2220.0</v>
      </c>
      <c r="D47" s="11" t="n">
        <v>0.0</v>
      </c>
      <c r="E47" s="11" t="n">
        <v>0.0</v>
      </c>
      <c r="F47" s="11" t="n">
        <v>0.0</v>
      </c>
      <c r="G47" s="11" t="n">
        <v>0.0</v>
      </c>
      <c r="H47" s="11" t="n">
        <v>0.0</v>
      </c>
      <c r="I47" s="11" t="n">
        <v>0.0</v>
      </c>
      <c r="J47" s="11" t="n">
        <v>0.0</v>
      </c>
      <c r="K47" s="11" t="n">
        <v>0.0</v>
      </c>
      <c r="L47" s="11" t="n">
        <v>0.0</v>
      </c>
      <c r="M47" s="11" t="n">
        <v>0.0</v>
      </c>
      <c r="N47" s="11" t="n">
        <v>0.0</v>
      </c>
      <c r="O47" s="11" t="n">
        <v>0.0</v>
      </c>
      <c r="P47" s="11" t="n">
        <v>1800.0</v>
      </c>
      <c r="Q47" s="11" t="n">
        <v>0.0</v>
      </c>
      <c r="R47" s="11" t="n">
        <v>0.0</v>
      </c>
      <c r="S47" s="11" t="n">
        <v>0.0</v>
      </c>
      <c r="T47" s="11" t="n">
        <v>0.0</v>
      </c>
      <c r="U47" s="11" t="n">
        <v>0.0</v>
      </c>
      <c r="V47" s="11" t="n">
        <v>0.0</v>
      </c>
      <c r="W47" s="11" t="n">
        <v>420.0</v>
      </c>
      <c r="X47" s="11" t="n">
        <v>0.0</v>
      </c>
      <c r="Y47" s="11" t="n">
        <v>0.0</v>
      </c>
    </row>
    <row r="48">
      <c r="A48" s="7" t="inlineStr">
        <is>
          <t xml:space="preserve">                              Stationery - 520801 - قرطاسية</t>
        </is>
      </c>
      <c r="B48" s="7" t="inlineStr">
        <is>
          <t>520801</t>
        </is>
      </c>
      <c r="C48" s="11" t="n">
        <v>2478.9</v>
      </c>
      <c r="D48" s="11" t="n">
        <v>0.0</v>
      </c>
      <c r="E48" s="11" t="n">
        <v>0.0</v>
      </c>
      <c r="F48" s="11" t="n">
        <v>0.0</v>
      </c>
      <c r="G48" s="11" t="n">
        <v>0.0</v>
      </c>
      <c r="H48" s="11" t="n">
        <v>0.0</v>
      </c>
      <c r="I48" s="11" t="n">
        <v>0.0</v>
      </c>
      <c r="J48" s="11" t="n">
        <v>0.0</v>
      </c>
      <c r="K48" s="11" t="n">
        <v>0.0</v>
      </c>
      <c r="L48" s="11" t="n">
        <v>0.0</v>
      </c>
      <c r="M48" s="11" t="n">
        <v>0.0</v>
      </c>
      <c r="N48" s="11" t="n">
        <v>0.0</v>
      </c>
      <c r="O48" s="11" t="n">
        <v>0.0</v>
      </c>
      <c r="P48" s="11" t="n">
        <v>0.0</v>
      </c>
      <c r="Q48" s="11" t="n">
        <v>565.23</v>
      </c>
      <c r="R48" s="11" t="n">
        <v>0.0</v>
      </c>
      <c r="S48" s="11" t="n">
        <v>0.0</v>
      </c>
      <c r="T48" s="11" t="n">
        <v>0.0</v>
      </c>
      <c r="U48" s="11" t="n">
        <v>0.0</v>
      </c>
      <c r="V48" s="11" t="n">
        <v>0.0</v>
      </c>
      <c r="W48" s="11" t="n">
        <v>1913.67</v>
      </c>
      <c r="X48" s="11" t="n">
        <v>0.0</v>
      </c>
      <c r="Y48" s="11" t="n">
        <v>0.0</v>
      </c>
    </row>
    <row r="49">
      <c r="A49" s="7" t="inlineStr">
        <is>
          <t xml:space="preserve">                              Games for workshops and meetings - 520802 - العاب ورش عمل وملتقيات</t>
        </is>
      </c>
      <c r="B49" s="7" t="inlineStr">
        <is>
          <t>520802</t>
        </is>
      </c>
      <c r="C49" s="11" t="n">
        <v>125250.0</v>
      </c>
      <c r="D49" s="11" t="n">
        <v>0.0</v>
      </c>
      <c r="E49" s="11" t="n">
        <v>0.0</v>
      </c>
      <c r="F49" s="11" t="n">
        <v>0.0</v>
      </c>
      <c r="G49" s="11" t="n">
        <v>0.0</v>
      </c>
      <c r="H49" s="11" t="n">
        <v>0.0</v>
      </c>
      <c r="I49" s="11" t="n">
        <v>0.0</v>
      </c>
      <c r="J49" s="11" t="n">
        <v>0.0</v>
      </c>
      <c r="K49" s="11" t="n">
        <v>0.0</v>
      </c>
      <c r="L49" s="11" t="n">
        <v>0.0</v>
      </c>
      <c r="M49" s="11" t="n">
        <v>0.0</v>
      </c>
      <c r="N49" s="11" t="n">
        <v>0.0</v>
      </c>
      <c r="O49" s="11" t="n">
        <v>0.0</v>
      </c>
      <c r="P49" s="11" t="n">
        <v>125250.0</v>
      </c>
      <c r="Q49" s="11" t="n">
        <v>0.0</v>
      </c>
      <c r="R49" s="11" t="n">
        <v>0.0</v>
      </c>
      <c r="S49" s="11" t="n">
        <v>0.0</v>
      </c>
      <c r="T49" s="11" t="n">
        <v>0.0</v>
      </c>
      <c r="U49" s="11" t="n">
        <v>0.0</v>
      </c>
      <c r="V49" s="11" t="n">
        <v>0.0</v>
      </c>
      <c r="W49" s="11" t="n">
        <v>0.0</v>
      </c>
      <c r="X49" s="11" t="n">
        <v>0.0</v>
      </c>
      <c r="Y49" s="11" t="n">
        <v>0.0</v>
      </c>
    </row>
    <row r="50">
      <c r="A50" s="7" t="inlineStr">
        <is>
          <t xml:space="preserve">                              Equipment and decorations for workshops and meetings - 520804 - تجهيزات وديكورات ورش عمل وملتقيات</t>
        </is>
      </c>
      <c r="B50" s="7" t="inlineStr">
        <is>
          <t>520804</t>
        </is>
      </c>
      <c r="C50" s="11" t="n">
        <v>206822.15</v>
      </c>
      <c r="D50" s="11" t="n">
        <v>0.0</v>
      </c>
      <c r="E50" s="11" t="n">
        <v>0.0</v>
      </c>
      <c r="F50" s="11" t="n">
        <v>0.0</v>
      </c>
      <c r="G50" s="11" t="n">
        <v>0.0</v>
      </c>
      <c r="H50" s="11" t="n">
        <v>0.0</v>
      </c>
      <c r="I50" s="11" t="n">
        <v>0.0</v>
      </c>
      <c r="J50" s="11" t="n">
        <v>0.0</v>
      </c>
      <c r="K50" s="11" t="n">
        <v>0.0</v>
      </c>
      <c r="L50" s="11" t="n">
        <v>5361.0</v>
      </c>
      <c r="M50" s="11" t="n">
        <v>0.0</v>
      </c>
      <c r="N50" s="11" t="n">
        <v>108464.35</v>
      </c>
      <c r="O50" s="11" t="n">
        <v>0.0</v>
      </c>
      <c r="P50" s="11" t="n">
        <v>0.0</v>
      </c>
      <c r="Q50" s="11" t="n">
        <v>6100.0</v>
      </c>
      <c r="R50" s="11" t="n">
        <v>76031.21</v>
      </c>
      <c r="S50" s="11" t="n">
        <v>0.0</v>
      </c>
      <c r="T50" s="11" t="n">
        <v>10865.59</v>
      </c>
      <c r="U50" s="11" t="n">
        <v>0.0</v>
      </c>
      <c r="V50" s="11" t="n">
        <v>0.0</v>
      </c>
      <c r="W50" s="11" t="n">
        <v>0.0</v>
      </c>
      <c r="X50" s="11" t="n">
        <v>0.0</v>
      </c>
      <c r="Y50" s="11" t="n">
        <v>0.0</v>
      </c>
    </row>
    <row r="51">
      <c r="A51" s="7" t="inlineStr">
        <is>
          <t xml:space="preserve">                              Photography fee - 520901 - اتعاب تصوير فوتوغرافي</t>
        </is>
      </c>
      <c r="B51" s="7" t="inlineStr">
        <is>
          <t>520901</t>
        </is>
      </c>
      <c r="C51" s="11" t="n">
        <v>133500.0</v>
      </c>
      <c r="D51" s="11" t="n">
        <v>0.0</v>
      </c>
      <c r="E51" s="11" t="n">
        <v>0.0</v>
      </c>
      <c r="F51" s="11" t="n">
        <v>0.0</v>
      </c>
      <c r="G51" s="11" t="n">
        <v>0.0</v>
      </c>
      <c r="H51" s="11" t="n">
        <v>0.0</v>
      </c>
      <c r="I51" s="11" t="n">
        <v>0.0</v>
      </c>
      <c r="J51" s="11" t="n">
        <v>0.0</v>
      </c>
      <c r="K51" s="11" t="n">
        <v>2000.0</v>
      </c>
      <c r="L51" s="11" t="n">
        <v>0.0</v>
      </c>
      <c r="M51" s="11" t="n">
        <v>0.0</v>
      </c>
      <c r="N51" s="11" t="n">
        <v>0.0</v>
      </c>
      <c r="O51" s="11" t="n">
        <v>0.0</v>
      </c>
      <c r="P51" s="11" t="n">
        <v>0.0</v>
      </c>
      <c r="Q51" s="11" t="n">
        <v>0.0</v>
      </c>
      <c r="R51" s="11" t="n">
        <v>127000.0</v>
      </c>
      <c r="S51" s="11" t="n">
        <v>0.0</v>
      </c>
      <c r="T51" s="11" t="n">
        <v>2500.0</v>
      </c>
      <c r="U51" s="11" t="n">
        <v>0.0</v>
      </c>
      <c r="V51" s="11" t="n">
        <v>0.0</v>
      </c>
      <c r="W51" s="11" t="n">
        <v>2000.0</v>
      </c>
      <c r="X51" s="11" t="n">
        <v>0.0</v>
      </c>
      <c r="Y51" s="11" t="n">
        <v>0.0</v>
      </c>
    </row>
    <row r="52">
      <c r="A52" s="7" t="inlineStr">
        <is>
          <t xml:space="preserve">                              Video shooting fee - 520902 - اتعاب تصوير فيديو</t>
        </is>
      </c>
      <c r="B52" s="7" t="inlineStr">
        <is>
          <t>520902</t>
        </is>
      </c>
      <c r="C52" s="11" t="n">
        <v>7200.0</v>
      </c>
      <c r="D52" s="11" t="n">
        <v>0.0</v>
      </c>
      <c r="E52" s="11" t="n">
        <v>0.0</v>
      </c>
      <c r="F52" s="11" t="n">
        <v>0.0</v>
      </c>
      <c r="G52" s="11" t="n">
        <v>0.0</v>
      </c>
      <c r="H52" s="11" t="n">
        <v>0.0</v>
      </c>
      <c r="I52" s="11" t="n">
        <v>0.0</v>
      </c>
      <c r="J52" s="11" t="n">
        <v>0.0</v>
      </c>
      <c r="K52" s="11" t="n">
        <v>0.0</v>
      </c>
      <c r="L52" s="11" t="n">
        <v>0.0</v>
      </c>
      <c r="M52" s="11" t="n">
        <v>0.0</v>
      </c>
      <c r="N52" s="11" t="n">
        <v>0.0</v>
      </c>
      <c r="O52" s="11" t="n">
        <v>0.0</v>
      </c>
      <c r="P52" s="11" t="n">
        <v>0.0</v>
      </c>
      <c r="Q52" s="11" t="n">
        <v>0.0</v>
      </c>
      <c r="R52" s="11" t="n">
        <v>0.0</v>
      </c>
      <c r="S52" s="11" t="n">
        <v>0.0</v>
      </c>
      <c r="T52" s="11" t="n">
        <v>5000.0</v>
      </c>
      <c r="U52" s="11" t="n">
        <v>0.0</v>
      </c>
      <c r="V52" s="11" t="n">
        <v>0.0</v>
      </c>
      <c r="W52" s="11" t="n">
        <v>2200.0</v>
      </c>
      <c r="X52" s="11" t="n">
        <v>0.0</v>
      </c>
      <c r="Y52" s="11" t="n">
        <v>0.0</v>
      </c>
    </row>
    <row r="53">
      <c r="A53" s="7" t="inlineStr">
        <is>
          <t xml:space="preserve">                              montage fee - 520903 - اتعاب مونتاج</t>
        </is>
      </c>
      <c r="B53" s="7" t="inlineStr">
        <is>
          <t>520903</t>
        </is>
      </c>
      <c r="C53" s="11" t="n">
        <v>2500.0</v>
      </c>
      <c r="D53" s="11" t="n">
        <v>0.0</v>
      </c>
      <c r="E53" s="11" t="n">
        <v>0.0</v>
      </c>
      <c r="F53" s="11" t="n">
        <v>0.0</v>
      </c>
      <c r="G53" s="11" t="n">
        <v>0.0</v>
      </c>
      <c r="H53" s="11" t="n">
        <v>0.0</v>
      </c>
      <c r="I53" s="11" t="n">
        <v>0.0</v>
      </c>
      <c r="J53" s="11" t="n">
        <v>0.0</v>
      </c>
      <c r="K53" s="11" t="n">
        <v>1000.0</v>
      </c>
      <c r="L53" s="11" t="n">
        <v>0.0</v>
      </c>
      <c r="M53" s="11" t="n">
        <v>0.0</v>
      </c>
      <c r="N53" s="11" t="n">
        <v>0.0</v>
      </c>
      <c r="O53" s="11" t="n">
        <v>0.0</v>
      </c>
      <c r="P53" s="11" t="n">
        <v>0.0</v>
      </c>
      <c r="Q53" s="11" t="n">
        <v>0.0</v>
      </c>
      <c r="R53" s="11" t="n">
        <v>0.0</v>
      </c>
      <c r="S53" s="11" t="n">
        <v>0.0</v>
      </c>
      <c r="T53" s="11" t="n">
        <v>0.0</v>
      </c>
      <c r="U53" s="11" t="n">
        <v>0.0</v>
      </c>
      <c r="V53" s="11" t="n">
        <v>0.0</v>
      </c>
      <c r="W53" s="11" t="n">
        <v>1500.0</v>
      </c>
      <c r="X53" s="11" t="n">
        <v>0.0</v>
      </c>
      <c r="Y53" s="11" t="n">
        <v>0.0</v>
      </c>
    </row>
    <row r="54">
      <c r="A54" s="7" t="inlineStr">
        <is>
          <t xml:space="preserve">                              Live broadcast costs - 520905 - تكاليف بث مباشر</t>
        </is>
      </c>
      <c r="B54" s="7" t="inlineStr">
        <is>
          <t>520905</t>
        </is>
      </c>
      <c r="C54" s="11" t="n">
        <v>3800.0</v>
      </c>
      <c r="D54" s="11" t="n">
        <v>0.0</v>
      </c>
      <c r="E54" s="11" t="n">
        <v>0.0</v>
      </c>
      <c r="F54" s="11" t="n">
        <v>0.0</v>
      </c>
      <c r="G54" s="11" t="n">
        <v>0.0</v>
      </c>
      <c r="H54" s="11" t="n">
        <v>0.0</v>
      </c>
      <c r="I54" s="11" t="n">
        <v>0.0</v>
      </c>
      <c r="J54" s="11" t="n">
        <v>0.0</v>
      </c>
      <c r="K54" s="11" t="n">
        <v>0.0</v>
      </c>
      <c r="L54" s="11" t="n">
        <v>0.0</v>
      </c>
      <c r="M54" s="11" t="n">
        <v>0.0</v>
      </c>
      <c r="N54" s="11" t="n">
        <v>0.0</v>
      </c>
      <c r="O54" s="11" t="n">
        <v>0.0</v>
      </c>
      <c r="P54" s="11" t="n">
        <v>0.0</v>
      </c>
      <c r="Q54" s="11" t="n">
        <v>0.0</v>
      </c>
      <c r="R54" s="11" t="n">
        <v>0.0</v>
      </c>
      <c r="S54" s="11" t="n">
        <v>0.0</v>
      </c>
      <c r="T54" s="11" t="n">
        <v>0.0</v>
      </c>
      <c r="U54" s="11" t="n">
        <v>0.0</v>
      </c>
      <c r="V54" s="11" t="n">
        <v>0.0</v>
      </c>
      <c r="W54" s="11" t="n">
        <v>3800.0</v>
      </c>
      <c r="X54" s="11" t="n">
        <v>0.0</v>
      </c>
      <c r="Y54" s="11" t="n">
        <v>0.0</v>
      </c>
    </row>
    <row r="55">
      <c r="A55" s="7" t="inlineStr">
        <is>
          <t xml:space="preserve">                              Guides and reports design - 521001 - تصميم ادلة وتقارير</t>
        </is>
      </c>
      <c r="B55" s="7" t="inlineStr">
        <is>
          <t>521001</t>
        </is>
      </c>
      <c r="C55" s="11" t="n">
        <v>26798.0</v>
      </c>
      <c r="D55" s="11" t="n">
        <v>0.0</v>
      </c>
      <c r="E55" s="11" t="n">
        <v>0.0</v>
      </c>
      <c r="F55" s="11" t="n">
        <v>0.0</v>
      </c>
      <c r="G55" s="11" t="n">
        <v>0.0</v>
      </c>
      <c r="H55" s="11" t="n">
        <v>0.0</v>
      </c>
      <c r="I55" s="11" t="n">
        <v>0.0</v>
      </c>
      <c r="J55" s="11" t="n">
        <v>0.0</v>
      </c>
      <c r="K55" s="11" t="n">
        <v>0.0</v>
      </c>
      <c r="L55" s="11" t="n">
        <v>18500.0</v>
      </c>
      <c r="M55" s="11" t="n">
        <v>0.0</v>
      </c>
      <c r="N55" s="11" t="n">
        <v>0.0</v>
      </c>
      <c r="O55" s="11" t="n">
        <v>0.0</v>
      </c>
      <c r="P55" s="11" t="n">
        <v>0.0</v>
      </c>
      <c r="Q55" s="11" t="n">
        <v>0.0</v>
      </c>
      <c r="R55" s="11" t="n">
        <v>0.0</v>
      </c>
      <c r="S55" s="11" t="n">
        <v>0.0</v>
      </c>
      <c r="T55" s="11" t="n">
        <v>0.0</v>
      </c>
      <c r="U55" s="11" t="n">
        <v>0.0</v>
      </c>
      <c r="V55" s="11" t="n">
        <v>8298.0</v>
      </c>
      <c r="W55" s="11" t="n">
        <v>0.0</v>
      </c>
      <c r="X55" s="11" t="n">
        <v>0.0</v>
      </c>
      <c r="Y55" s="11" t="n">
        <v>0.0</v>
      </c>
    </row>
    <row r="56">
      <c r="A56" s="7" t="inlineStr">
        <is>
          <t xml:space="preserve">                              Identity Design - 521004 - تصميم هويات</t>
        </is>
      </c>
      <c r="B56" s="7" t="inlineStr">
        <is>
          <t>521004</t>
        </is>
      </c>
      <c r="C56" s="11" t="n">
        <v>950.0</v>
      </c>
      <c r="D56" s="11" t="n">
        <v>0.0</v>
      </c>
      <c r="E56" s="11" t="n">
        <v>0.0</v>
      </c>
      <c r="F56" s="11" t="n">
        <v>0.0</v>
      </c>
      <c r="G56" s="11" t="n">
        <v>0.0</v>
      </c>
      <c r="H56" s="11" t="n">
        <v>0.0</v>
      </c>
      <c r="I56" s="11" t="n">
        <v>0.0</v>
      </c>
      <c r="J56" s="11" t="n">
        <v>0.0</v>
      </c>
      <c r="K56" s="11" t="n">
        <v>0.0</v>
      </c>
      <c r="L56" s="11" t="n">
        <v>0.0</v>
      </c>
      <c r="M56" s="11" t="n">
        <v>0.0</v>
      </c>
      <c r="N56" s="11" t="n">
        <v>0.0</v>
      </c>
      <c r="O56" s="11" t="n">
        <v>0.0</v>
      </c>
      <c r="P56" s="11" t="n">
        <v>0.0</v>
      </c>
      <c r="Q56" s="11" t="n">
        <v>0.0</v>
      </c>
      <c r="R56" s="11" t="n">
        <v>950.0</v>
      </c>
      <c r="S56" s="11" t="n">
        <v>0.0</v>
      </c>
      <c r="T56" s="11" t="n">
        <v>0.0</v>
      </c>
      <c r="U56" s="11" t="n">
        <v>0.0</v>
      </c>
      <c r="V56" s="11" t="n">
        <v>0.0</v>
      </c>
      <c r="W56" s="11" t="n">
        <v>0.0</v>
      </c>
      <c r="X56" s="11" t="n">
        <v>0.0</v>
      </c>
      <c r="Y56" s="11" t="n">
        <v>0.0</v>
      </c>
    </row>
    <row r="57">
      <c r="A57" s="7" t="inlineStr">
        <is>
          <t xml:space="preserve">                              Infographic design - 521005 - تصميم انفوجرافيك</t>
        </is>
      </c>
      <c r="B57" s="7" t="inlineStr">
        <is>
          <t>521005</t>
        </is>
      </c>
      <c r="C57" s="11" t="n">
        <v>27412.17</v>
      </c>
      <c r="D57" s="11" t="n">
        <v>0.0</v>
      </c>
      <c r="E57" s="11" t="n">
        <v>0.0</v>
      </c>
      <c r="F57" s="11" t="n">
        <v>0.0</v>
      </c>
      <c r="G57" s="11" t="n">
        <v>0.0</v>
      </c>
      <c r="H57" s="11" t="n">
        <v>0.0</v>
      </c>
      <c r="I57" s="11" t="n">
        <v>0.0</v>
      </c>
      <c r="J57" s="11" t="n">
        <v>0.0</v>
      </c>
      <c r="K57" s="11" t="n">
        <v>8000.0</v>
      </c>
      <c r="L57" s="11" t="n">
        <v>15652.17</v>
      </c>
      <c r="M57" s="11" t="n">
        <v>0.0</v>
      </c>
      <c r="N57" s="11" t="n">
        <v>0.0</v>
      </c>
      <c r="O57" s="11" t="n">
        <v>0.0</v>
      </c>
      <c r="P57" s="11" t="n">
        <v>0.0</v>
      </c>
      <c r="Q57" s="11" t="n">
        <v>0.0</v>
      </c>
      <c r="R57" s="11" t="n">
        <v>3760.0</v>
      </c>
      <c r="S57" s="11" t="n">
        <v>0.0</v>
      </c>
      <c r="T57" s="11" t="n">
        <v>0.0</v>
      </c>
      <c r="U57" s="11" t="n">
        <v>0.0</v>
      </c>
      <c r="V57" s="11" t="n">
        <v>0.0</v>
      </c>
      <c r="W57" s="11" t="n">
        <v>0.0</v>
      </c>
      <c r="X57" s="11" t="n">
        <v>0.0</v>
      </c>
      <c r="Y57" s="11" t="n">
        <v>0.0</v>
      </c>
    </row>
    <row r="58">
      <c r="A58" s="7" t="inlineStr">
        <is>
          <t xml:space="preserve">                              Paper printing - 521101 - طباعة ورقية</t>
        </is>
      </c>
      <c r="B58" s="7" t="inlineStr">
        <is>
          <t>521101</t>
        </is>
      </c>
      <c r="C58" s="11" t="n">
        <v>5350.5</v>
      </c>
      <c r="D58" s="11" t="n">
        <v>0.0</v>
      </c>
      <c r="E58" s="11" t="n">
        <v>0.0</v>
      </c>
      <c r="F58" s="11" t="n">
        <v>0.0</v>
      </c>
      <c r="G58" s="11" t="n">
        <v>0.0</v>
      </c>
      <c r="H58" s="11" t="n">
        <v>0.0</v>
      </c>
      <c r="I58" s="11" t="n">
        <v>0.0</v>
      </c>
      <c r="J58" s="11" t="n">
        <v>0.0</v>
      </c>
      <c r="K58" s="11" t="n">
        <v>0.0</v>
      </c>
      <c r="L58" s="11" t="n">
        <v>0.0</v>
      </c>
      <c r="M58" s="11" t="n">
        <v>0.0</v>
      </c>
      <c r="N58" s="11" t="n">
        <v>0.0</v>
      </c>
      <c r="O58" s="11" t="n">
        <v>0.0</v>
      </c>
      <c r="P58" s="11" t="n">
        <v>0.0</v>
      </c>
      <c r="Q58" s="11" t="n">
        <v>0.0</v>
      </c>
      <c r="R58" s="11" t="n">
        <v>2775.0</v>
      </c>
      <c r="S58" s="11" t="n">
        <v>0.0</v>
      </c>
      <c r="T58" s="11" t="n">
        <v>0.0</v>
      </c>
      <c r="U58" s="11" t="n">
        <v>0.0</v>
      </c>
      <c r="V58" s="11" t="n">
        <v>0.0</v>
      </c>
      <c r="W58" s="11" t="n">
        <v>2575.5</v>
      </c>
      <c r="X58" s="11" t="n">
        <v>0.0</v>
      </c>
      <c r="Y58" s="11" t="n">
        <v>0.0</v>
      </c>
    </row>
    <row r="59">
      <c r="A59" s="7" t="inlineStr">
        <is>
          <t xml:space="preserve">                              Roll up and pop up printing - 521103 - طباعة رول أب وبوب أب</t>
        </is>
      </c>
      <c r="B59" s="7" t="inlineStr">
        <is>
          <t>521103</t>
        </is>
      </c>
      <c r="C59" s="11" t="n">
        <v>327541.8</v>
      </c>
      <c r="D59" s="11" t="n">
        <v>0.0</v>
      </c>
      <c r="E59" s="11" t="n">
        <v>0.0</v>
      </c>
      <c r="F59" s="11" t="n">
        <v>0.0</v>
      </c>
      <c r="G59" s="11" t="n">
        <v>0.0</v>
      </c>
      <c r="H59" s="11" t="n">
        <v>0.0</v>
      </c>
      <c r="I59" s="11" t="n">
        <v>0.0</v>
      </c>
      <c r="J59" s="11" t="n">
        <v>0.0</v>
      </c>
      <c r="K59" s="11" t="n">
        <v>2313.8</v>
      </c>
      <c r="L59" s="11" t="n">
        <v>0.0</v>
      </c>
      <c r="M59" s="11" t="n">
        <v>0.0</v>
      </c>
      <c r="N59" s="11" t="n">
        <v>3500.0</v>
      </c>
      <c r="O59" s="11" t="n">
        <v>0.0</v>
      </c>
      <c r="P59" s="11" t="n">
        <v>840.0</v>
      </c>
      <c r="Q59" s="11" t="n">
        <v>305198.0</v>
      </c>
      <c r="R59" s="11" t="n">
        <v>11850.0</v>
      </c>
      <c r="S59" s="11" t="n">
        <v>0.0</v>
      </c>
      <c r="T59" s="11" t="n">
        <v>0.0</v>
      </c>
      <c r="U59" s="11" t="n">
        <v>0.0</v>
      </c>
      <c r="V59" s="11" t="n">
        <v>0.0</v>
      </c>
      <c r="W59" s="11" t="n">
        <v>3840.0</v>
      </c>
      <c r="X59" s="11" t="n">
        <v>0.0</v>
      </c>
      <c r="Y59" s="11" t="n">
        <v>0.0</v>
      </c>
    </row>
    <row r="60">
      <c r="A60" s="7" t="inlineStr">
        <is>
          <t xml:space="preserve">                              Official documents printing - 521104 - طباعة مستندات رسمية</t>
        </is>
      </c>
      <c r="B60" s="7" t="inlineStr">
        <is>
          <t>521104</t>
        </is>
      </c>
      <c r="C60" s="11" t="n">
        <v>1470.0</v>
      </c>
      <c r="D60" s="11" t="n">
        <v>0.0</v>
      </c>
      <c r="E60" s="11" t="n">
        <v>0.0</v>
      </c>
      <c r="F60" s="11" t="n">
        <v>0.0</v>
      </c>
      <c r="G60" s="11" t="n">
        <v>0.0</v>
      </c>
      <c r="H60" s="11" t="n">
        <v>0.0</v>
      </c>
      <c r="I60" s="11" t="n">
        <v>0.0</v>
      </c>
      <c r="J60" s="11" t="n">
        <v>0.0</v>
      </c>
      <c r="K60" s="11" t="n">
        <v>0.0</v>
      </c>
      <c r="L60" s="11" t="n">
        <v>0.0</v>
      </c>
      <c r="M60" s="11" t="n">
        <v>0.0</v>
      </c>
      <c r="N60" s="11" t="n">
        <v>0.0</v>
      </c>
      <c r="O60" s="11" t="n">
        <v>0.0</v>
      </c>
      <c r="P60" s="11" t="n">
        <v>0.0</v>
      </c>
      <c r="Q60" s="11" t="n">
        <v>1470.0</v>
      </c>
      <c r="R60" s="11" t="n">
        <v>0.0</v>
      </c>
      <c r="S60" s="11" t="n">
        <v>0.0</v>
      </c>
      <c r="T60" s="11" t="n">
        <v>0.0</v>
      </c>
      <c r="U60" s="11" t="n">
        <v>0.0</v>
      </c>
      <c r="V60" s="11" t="n">
        <v>0.0</v>
      </c>
      <c r="W60" s="11" t="n">
        <v>0.0</v>
      </c>
      <c r="X60" s="11" t="n">
        <v>0.0</v>
      </c>
      <c r="Y60" s="11" t="n">
        <v>0.0</v>
      </c>
    </row>
    <row r="61">
      <c r="A61" s="7" t="inlineStr">
        <is>
          <t xml:space="preserve">                              Guides and reports printing - 521106 - طباعة أدلة وتقارير</t>
        </is>
      </c>
      <c r="B61" s="7" t="inlineStr">
        <is>
          <t>521106</t>
        </is>
      </c>
      <c r="C61" s="11" t="n">
        <v>5430.0</v>
      </c>
      <c r="D61" s="11" t="n">
        <v>0.0</v>
      </c>
      <c r="E61" s="11" t="n">
        <v>0.0</v>
      </c>
      <c r="F61" s="11" t="n">
        <v>0.0</v>
      </c>
      <c r="G61" s="11" t="n">
        <v>0.0</v>
      </c>
      <c r="H61" s="11" t="n">
        <v>0.0</v>
      </c>
      <c r="I61" s="11" t="n">
        <v>0.0</v>
      </c>
      <c r="J61" s="11" t="n">
        <v>0.0</v>
      </c>
      <c r="K61" s="11" t="n">
        <v>0.0</v>
      </c>
      <c r="L61" s="11" t="n">
        <v>0.0</v>
      </c>
      <c r="M61" s="11" t="n">
        <v>0.0</v>
      </c>
      <c r="N61" s="11" t="n">
        <v>0.0</v>
      </c>
      <c r="O61" s="11" t="n">
        <v>0.0</v>
      </c>
      <c r="P61" s="11" t="n">
        <v>3750.0</v>
      </c>
      <c r="Q61" s="11" t="n">
        <v>0.0</v>
      </c>
      <c r="R61" s="11" t="n">
        <v>0.0</v>
      </c>
      <c r="S61" s="11" t="n">
        <v>0.0</v>
      </c>
      <c r="T61" s="11" t="n">
        <v>1680.0</v>
      </c>
      <c r="U61" s="11" t="n">
        <v>0.0</v>
      </c>
      <c r="V61" s="11" t="n">
        <v>0.0</v>
      </c>
      <c r="W61" s="11" t="n">
        <v>0.0</v>
      </c>
      <c r="X61" s="11" t="n">
        <v>0.0</v>
      </c>
      <c r="Y61" s="11" t="n">
        <v>0.0</v>
      </c>
    </row>
    <row r="62">
      <c r="A62" s="7" t="inlineStr">
        <is>
          <t xml:space="preserve">                              Cash prizes - 521201 - جوائز نقدية</t>
        </is>
      </c>
      <c r="B62" s="7" t="inlineStr">
        <is>
          <t>521201</t>
        </is>
      </c>
      <c r="C62" s="11" t="n">
        <v>90000.0</v>
      </c>
      <c r="D62" s="11" t="n">
        <v>0.0</v>
      </c>
      <c r="E62" s="11" t="n">
        <v>0.0</v>
      </c>
      <c r="F62" s="11" t="n">
        <v>0.0</v>
      </c>
      <c r="G62" s="11" t="n">
        <v>0.0</v>
      </c>
      <c r="H62" s="11" t="n">
        <v>0.0</v>
      </c>
      <c r="I62" s="11" t="n">
        <v>0.0</v>
      </c>
      <c r="J62" s="11" t="n">
        <v>0.0</v>
      </c>
      <c r="K62" s="11" t="n">
        <v>0.0</v>
      </c>
      <c r="L62" s="11" t="n">
        <v>0.0</v>
      </c>
      <c r="M62" s="11" t="n">
        <v>0.0</v>
      </c>
      <c r="N62" s="11" t="n">
        <v>0.0</v>
      </c>
      <c r="O62" s="11" t="n">
        <v>0.0</v>
      </c>
      <c r="P62" s="11" t="n">
        <v>90000.0</v>
      </c>
      <c r="Q62" s="11" t="n">
        <v>0.0</v>
      </c>
      <c r="R62" s="11" t="n">
        <v>0.0</v>
      </c>
      <c r="S62" s="11" t="n">
        <v>0.0</v>
      </c>
      <c r="T62" s="11" t="n">
        <v>0.0</v>
      </c>
      <c r="U62" s="11" t="n">
        <v>0.0</v>
      </c>
      <c r="V62" s="11" t="n">
        <v>0.0</v>
      </c>
      <c r="W62" s="11" t="n">
        <v>0.0</v>
      </c>
      <c r="X62" s="11" t="n">
        <v>0.0</v>
      </c>
      <c r="Y62" s="11" t="n">
        <v>0.0</v>
      </c>
    </row>
    <row r="63">
      <c r="A63" s="7" t="inlineStr">
        <is>
          <t xml:space="preserve">                              Gifts - 521203 - هدايا</t>
        </is>
      </c>
      <c r="B63" s="7" t="inlineStr">
        <is>
          <t>521203</t>
        </is>
      </c>
      <c r="C63" s="11" t="n">
        <v>217706.3</v>
      </c>
      <c r="D63" s="11" t="n">
        <v>0.0</v>
      </c>
      <c r="E63" s="11" t="n">
        <v>0.0</v>
      </c>
      <c r="F63" s="11" t="n">
        <v>0.0</v>
      </c>
      <c r="G63" s="11" t="n">
        <v>0.0</v>
      </c>
      <c r="H63" s="11" t="n">
        <v>0.0</v>
      </c>
      <c r="I63" s="11" t="n">
        <v>0.0</v>
      </c>
      <c r="J63" s="11" t="n">
        <v>0.0</v>
      </c>
      <c r="K63" s="11" t="n">
        <v>0.0</v>
      </c>
      <c r="L63" s="11" t="n">
        <v>0.0</v>
      </c>
      <c r="M63" s="11" t="n">
        <v>2152.0</v>
      </c>
      <c r="N63" s="11" t="n">
        <v>19651.5</v>
      </c>
      <c r="O63" s="11" t="n">
        <v>0.0</v>
      </c>
      <c r="P63" s="11" t="n">
        <v>5285.4</v>
      </c>
      <c r="Q63" s="11" t="n">
        <v>0.0</v>
      </c>
      <c r="R63" s="11" t="n">
        <v>183417.4</v>
      </c>
      <c r="S63" s="11" t="n">
        <v>0.0</v>
      </c>
      <c r="T63" s="11" t="n">
        <v>0.0</v>
      </c>
      <c r="U63" s="11" t="n">
        <v>0.0</v>
      </c>
      <c r="V63" s="11" t="n">
        <v>0.0</v>
      </c>
      <c r="W63" s="11" t="n">
        <v>7200.0</v>
      </c>
      <c r="X63" s="11" t="n">
        <v>0.0</v>
      </c>
      <c r="Y63" s="11" t="n">
        <v>0.0</v>
      </c>
    </row>
    <row r="64">
      <c r="A64" s="7" t="inlineStr">
        <is>
          <t xml:space="preserve">                              Mobile  - 521302 - شحن جوال</t>
        </is>
      </c>
      <c r="B64" s="7" t="inlineStr">
        <is>
          <t>521302</t>
        </is>
      </c>
      <c r="C64" s="11" t="n">
        <v>270.0</v>
      </c>
      <c r="D64" s="11" t="n">
        <v>0.0</v>
      </c>
      <c r="E64" s="11" t="n">
        <v>0.0</v>
      </c>
      <c r="F64" s="11" t="n">
        <v>0.0</v>
      </c>
      <c r="G64" s="11" t="n">
        <v>0.0</v>
      </c>
      <c r="H64" s="11" t="n">
        <v>0.0</v>
      </c>
      <c r="I64" s="11" t="n">
        <v>0.0</v>
      </c>
      <c r="J64" s="11" t="n">
        <v>0.0</v>
      </c>
      <c r="K64" s="11" t="n">
        <v>0.0</v>
      </c>
      <c r="L64" s="11" t="n">
        <v>0.0</v>
      </c>
      <c r="M64" s="11" t="n">
        <v>0.0</v>
      </c>
      <c r="N64" s="11" t="n">
        <v>0.0</v>
      </c>
      <c r="O64" s="11" t="n">
        <v>0.0</v>
      </c>
      <c r="P64" s="11" t="n">
        <v>0.0</v>
      </c>
      <c r="Q64" s="11" t="n">
        <v>0.0</v>
      </c>
      <c r="R64" s="11" t="n">
        <v>0.0</v>
      </c>
      <c r="S64" s="11" t="n">
        <v>0.0</v>
      </c>
      <c r="T64" s="11" t="n">
        <v>270.0</v>
      </c>
      <c r="U64" s="11" t="n">
        <v>0.0</v>
      </c>
      <c r="V64" s="11" t="n">
        <v>0.0</v>
      </c>
      <c r="W64" s="11" t="n">
        <v>0.0</v>
      </c>
      <c r="X64" s="11" t="n">
        <v>0.0</v>
      </c>
      <c r="Y64" s="11" t="n">
        <v>0.0</v>
      </c>
    </row>
    <row r="65">
      <c r="A65" s="7" t="inlineStr">
        <is>
          <t xml:space="preserve">                              Shipping and delivery fees - 521305 - ارساليات و رسوم توصيل</t>
        </is>
      </c>
      <c r="B65" s="7" t="inlineStr">
        <is>
          <t>521305</t>
        </is>
      </c>
      <c r="C65" s="11" t="n">
        <v>540.0</v>
      </c>
      <c r="D65" s="11" t="n">
        <v>0.0</v>
      </c>
      <c r="E65" s="11" t="n">
        <v>0.0</v>
      </c>
      <c r="F65" s="11" t="n">
        <v>0.0</v>
      </c>
      <c r="G65" s="11" t="n">
        <v>0.0</v>
      </c>
      <c r="H65" s="11" t="n">
        <v>0.0</v>
      </c>
      <c r="I65" s="11" t="n">
        <v>0.0</v>
      </c>
      <c r="J65" s="11" t="n">
        <v>0.0</v>
      </c>
      <c r="K65" s="11" t="n">
        <v>0.0</v>
      </c>
      <c r="L65" s="11" t="n">
        <v>0.0</v>
      </c>
      <c r="M65" s="11" t="n">
        <v>0.0</v>
      </c>
      <c r="N65" s="11" t="n">
        <v>0.0</v>
      </c>
      <c r="O65" s="11" t="n">
        <v>0.0</v>
      </c>
      <c r="P65" s="11" t="n">
        <v>0.0</v>
      </c>
      <c r="Q65" s="11" t="n">
        <v>0.0</v>
      </c>
      <c r="R65" s="11" t="n">
        <v>0.0</v>
      </c>
      <c r="S65" s="11" t="n">
        <v>540.0</v>
      </c>
      <c r="T65" s="11" t="n">
        <v>0.0</v>
      </c>
      <c r="U65" s="11" t="n">
        <v>0.0</v>
      </c>
      <c r="V65" s="11" t="n">
        <v>0.0</v>
      </c>
      <c r="W65" s="11" t="n">
        <v>0.0</v>
      </c>
      <c r="X65" s="11" t="n">
        <v>0.0</v>
      </c>
      <c r="Y65" s="11" t="n">
        <v>0.0</v>
      </c>
    </row>
    <row r="66">
      <c r="A66" s="7" t="inlineStr">
        <is>
          <t xml:space="preserve">                              SMS fees - 521306 - شحن رسائل SMS</t>
        </is>
      </c>
      <c r="B66" s="7" t="inlineStr">
        <is>
          <t>521306</t>
        </is>
      </c>
      <c r="C66" s="11" t="n">
        <v>6000.0</v>
      </c>
      <c r="D66" s="11" t="n">
        <v>0.0</v>
      </c>
      <c r="E66" s="11" t="n">
        <v>0.0</v>
      </c>
      <c r="F66" s="11" t="n">
        <v>0.0</v>
      </c>
      <c r="G66" s="11" t="n">
        <v>0.0</v>
      </c>
      <c r="H66" s="11" t="n">
        <v>0.0</v>
      </c>
      <c r="I66" s="11" t="n">
        <v>0.0</v>
      </c>
      <c r="J66" s="11" t="n">
        <v>0.0</v>
      </c>
      <c r="K66" s="11" t="n">
        <v>0.0</v>
      </c>
      <c r="L66" s="11" t="n">
        <v>0.0</v>
      </c>
      <c r="M66" s="11" t="n">
        <v>0.0</v>
      </c>
      <c r="N66" s="11" t="n">
        <v>0.0</v>
      </c>
      <c r="O66" s="11" t="n">
        <v>0.0</v>
      </c>
      <c r="P66" s="11" t="n">
        <v>0.0</v>
      </c>
      <c r="Q66" s="11" t="n">
        <v>0.0</v>
      </c>
      <c r="R66" s="11" t="n">
        <v>0.0</v>
      </c>
      <c r="S66" s="11" t="n">
        <v>0.0</v>
      </c>
      <c r="T66" s="11" t="n">
        <v>6000.0</v>
      </c>
      <c r="U66" s="11" t="n">
        <v>0.0</v>
      </c>
      <c r="V66" s="11" t="n">
        <v>0.0</v>
      </c>
      <c r="W66" s="11" t="n">
        <v>0.0</v>
      </c>
      <c r="X66" s="11" t="n">
        <v>0.0</v>
      </c>
      <c r="Y66" s="11" t="n">
        <v>0.0</v>
      </c>
    </row>
    <row r="67">
      <c r="A67" s="7" t="inlineStr">
        <is>
          <t xml:space="preserve">                              Office subscription - 521401 - اشتراك موقع Office</t>
        </is>
      </c>
      <c r="B67" s="7" t="inlineStr">
        <is>
          <t>521401</t>
        </is>
      </c>
      <c r="C67" s="11" t="n">
        <v>6400.0</v>
      </c>
      <c r="D67" s="11" t="n">
        <v>620.0</v>
      </c>
      <c r="E67" s="11" t="n">
        <v>0.0</v>
      </c>
      <c r="F67" s="11" t="n">
        <v>0.0</v>
      </c>
      <c r="G67" s="11" t="n">
        <v>0.0</v>
      </c>
      <c r="H67" s="11" t="n">
        <v>0.0</v>
      </c>
      <c r="I67" s="11" t="n">
        <v>0.0</v>
      </c>
      <c r="J67" s="11" t="n">
        <v>0.0</v>
      </c>
      <c r="K67" s="11" t="n">
        <v>0.0</v>
      </c>
      <c r="L67" s="11" t="n">
        <v>0.0</v>
      </c>
      <c r="M67" s="11" t="n">
        <v>0.0</v>
      </c>
      <c r="N67" s="11" t="n">
        <v>5780.0</v>
      </c>
      <c r="O67" s="11" t="n">
        <v>0.0</v>
      </c>
      <c r="P67" s="11" t="n">
        <v>0.0</v>
      </c>
      <c r="Q67" s="11" t="n">
        <v>0.0</v>
      </c>
      <c r="R67" s="11" t="n">
        <v>0.0</v>
      </c>
      <c r="S67" s="11" t="n">
        <v>0.0</v>
      </c>
      <c r="T67" s="11" t="n">
        <v>0.0</v>
      </c>
      <c r="U67" s="11" t="n">
        <v>0.0</v>
      </c>
      <c r="V67" s="11" t="n">
        <v>0.0</v>
      </c>
      <c r="W67" s="11" t="n">
        <v>0.0</v>
      </c>
      <c r="X67" s="11" t="n">
        <v>0.0</v>
      </c>
      <c r="Y67" s="11" t="n">
        <v>0.0</v>
      </c>
    </row>
    <row r="68">
      <c r="A68" s="7" t="inlineStr">
        <is>
          <t xml:space="preserve">                              Other software subscription - 521408 - اشتراك برمجيات أخرى</t>
        </is>
      </c>
      <c r="B68" s="7" t="inlineStr">
        <is>
          <t>521408</t>
        </is>
      </c>
      <c r="C68" s="11" t="n">
        <v>12695.28</v>
      </c>
      <c r="D68" s="11" t="n">
        <v>0.0</v>
      </c>
      <c r="E68" s="11" t="n">
        <v>0.0</v>
      </c>
      <c r="F68" s="11" t="n">
        <v>0.0</v>
      </c>
      <c r="G68" s="11" t="n">
        <v>0.0</v>
      </c>
      <c r="H68" s="11" t="n">
        <v>0.0</v>
      </c>
      <c r="I68" s="11" t="n">
        <v>0.0</v>
      </c>
      <c r="J68" s="11" t="n">
        <v>0.0</v>
      </c>
      <c r="K68" s="11" t="n">
        <v>0.0</v>
      </c>
      <c r="L68" s="11" t="n">
        <v>0.0</v>
      </c>
      <c r="M68" s="11" t="n">
        <v>0.0</v>
      </c>
      <c r="N68" s="11" t="n">
        <v>0.0</v>
      </c>
      <c r="O68" s="11" t="n">
        <v>0.0</v>
      </c>
      <c r="P68" s="11" t="n">
        <v>0.0</v>
      </c>
      <c r="Q68" s="11" t="n">
        <v>0.0</v>
      </c>
      <c r="R68" s="11" t="n">
        <v>0.0</v>
      </c>
      <c r="S68" s="11" t="n">
        <v>0.0</v>
      </c>
      <c r="T68" s="11" t="n">
        <v>3667.0</v>
      </c>
      <c r="U68" s="11" t="n">
        <v>0.0</v>
      </c>
      <c r="V68" s="11" t="n">
        <v>0.0</v>
      </c>
      <c r="W68" s="11" t="n">
        <v>0.0</v>
      </c>
      <c r="X68" s="11" t="n">
        <v>9028.28</v>
      </c>
      <c r="Y68" s="11" t="n">
        <v>0.0</v>
      </c>
    </row>
    <row r="69">
      <c r="A69" s="7" t="inlineStr">
        <is>
          <t xml:space="preserve">                              Software and application subscription - 521409 - اشتراكات برامج وتطبيقات</t>
        </is>
      </c>
      <c r="B69" s="7" t="inlineStr">
        <is>
          <t>521409</t>
        </is>
      </c>
      <c r="C69" s="11" t="n">
        <v>8554.78</v>
      </c>
      <c r="D69" s="11" t="n">
        <v>0.0</v>
      </c>
      <c r="E69" s="11" t="n">
        <v>0.0</v>
      </c>
      <c r="F69" s="11" t="n">
        <v>0.0</v>
      </c>
      <c r="G69" s="11" t="n">
        <v>0.0</v>
      </c>
      <c r="H69" s="11" t="n">
        <v>0.0</v>
      </c>
      <c r="I69" s="11" t="n">
        <v>0.0</v>
      </c>
      <c r="J69" s="11" t="n">
        <v>0.0</v>
      </c>
      <c r="K69" s="11" t="n">
        <v>0.0</v>
      </c>
      <c r="L69" s="11" t="n">
        <v>0.0</v>
      </c>
      <c r="M69" s="11" t="n">
        <v>0.0</v>
      </c>
      <c r="N69" s="11" t="n">
        <v>8554.78</v>
      </c>
      <c r="O69" s="11" t="n">
        <v>0.0</v>
      </c>
      <c r="P69" s="11" t="n">
        <v>0.0</v>
      </c>
      <c r="Q69" s="11" t="n">
        <v>0.0</v>
      </c>
      <c r="R69" s="11" t="n">
        <v>0.0</v>
      </c>
      <c r="S69" s="11" t="n">
        <v>0.0</v>
      </c>
      <c r="T69" s="11" t="n">
        <v>0.0</v>
      </c>
      <c r="U69" s="11" t="n">
        <v>0.0</v>
      </c>
      <c r="V69" s="11" t="n">
        <v>0.0</v>
      </c>
      <c r="W69" s="11" t="n">
        <v>0.0</v>
      </c>
      <c r="X69" s="11" t="n">
        <v>0.0</v>
      </c>
      <c r="Y69" s="11" t="n">
        <v>0.0</v>
      </c>
    </row>
    <row r="70">
      <c r="A70" s="7" t="inlineStr">
        <is>
          <t xml:space="preserve">                              Implementation of initiatives - 521702 - تنفيذ مبادرات</t>
        </is>
      </c>
      <c r="B70" s="7" t="inlineStr">
        <is>
          <t>521702</t>
        </is>
      </c>
      <c r="C70" s="11" t="n">
        <v>895828.0</v>
      </c>
      <c r="D70" s="11" t="n">
        <v>0.0</v>
      </c>
      <c r="E70" s="11" t="n">
        <v>0.0</v>
      </c>
      <c r="F70" s="11" t="n">
        <v>0.0</v>
      </c>
      <c r="G70" s="11" t="n">
        <v>0.0</v>
      </c>
      <c r="H70" s="11" t="n">
        <v>0.0</v>
      </c>
      <c r="I70" s="11" t="n">
        <v>0.0</v>
      </c>
      <c r="J70" s="11" t="n">
        <v>0.0</v>
      </c>
      <c r="K70" s="11" t="n">
        <v>0.0</v>
      </c>
      <c r="L70" s="11" t="n">
        <v>0.0</v>
      </c>
      <c r="M70" s="11" t="n">
        <v>0.0</v>
      </c>
      <c r="N70" s="11" t="n">
        <v>0.0</v>
      </c>
      <c r="O70" s="11" t="n">
        <v>0.0</v>
      </c>
      <c r="P70" s="11" t="n">
        <v>3300.0</v>
      </c>
      <c r="Q70" s="11" t="n">
        <v>78478.0</v>
      </c>
      <c r="R70" s="11" t="n">
        <v>814050.0</v>
      </c>
      <c r="S70" s="11" t="n">
        <v>0.0</v>
      </c>
      <c r="T70" s="11" t="n">
        <v>0.0</v>
      </c>
      <c r="U70" s="11" t="n">
        <v>0.0</v>
      </c>
      <c r="V70" s="11" t="n">
        <v>0.0</v>
      </c>
      <c r="W70" s="11" t="n">
        <v>0.0</v>
      </c>
      <c r="X70" s="11" t="n">
        <v>0.0</v>
      </c>
      <c r="Y70" s="11" t="n">
        <v>0.0</v>
      </c>
    </row>
    <row r="71">
      <c r="A71" s="7" t="inlineStr">
        <is>
          <t xml:space="preserve">                              rent - 530101 - ايجارات</t>
        </is>
      </c>
      <c r="B71" s="7" t="inlineStr">
        <is>
          <t>530101</t>
        </is>
      </c>
      <c r="C71" s="11" t="n">
        <v>88318.7</v>
      </c>
      <c r="D71" s="11" t="n">
        <v>0.0</v>
      </c>
      <c r="E71" s="11" t="n">
        <v>0.0</v>
      </c>
      <c r="F71" s="11" t="n">
        <v>0.0</v>
      </c>
      <c r="G71" s="11" t="n">
        <v>0.0</v>
      </c>
      <c r="H71" s="11" t="n">
        <v>0.0</v>
      </c>
      <c r="I71" s="11" t="n">
        <v>0.0</v>
      </c>
      <c r="J71" s="11" t="n">
        <v>0.0</v>
      </c>
      <c r="K71" s="11" t="n">
        <v>0.0</v>
      </c>
      <c r="L71" s="11" t="n">
        <v>0.0</v>
      </c>
      <c r="M71" s="11" t="n">
        <v>0.0</v>
      </c>
      <c r="N71" s="11" t="n">
        <v>0.0</v>
      </c>
      <c r="O71" s="11" t="n">
        <v>0.0</v>
      </c>
      <c r="P71" s="11" t="n">
        <v>0.0</v>
      </c>
      <c r="Q71" s="11" t="n">
        <v>0.0</v>
      </c>
      <c r="R71" s="11" t="n">
        <v>88318.7</v>
      </c>
      <c r="S71" s="11" t="n">
        <v>0.0</v>
      </c>
      <c r="T71" s="11" t="n">
        <v>0.0</v>
      </c>
      <c r="U71" s="11" t="n">
        <v>0.0</v>
      </c>
      <c r="V71" s="11" t="n">
        <v>0.0</v>
      </c>
      <c r="W71" s="11" t="n">
        <v>0.0</v>
      </c>
      <c r="X71" s="11" t="n">
        <v>0.0</v>
      </c>
      <c r="Y71" s="11" t="n">
        <v>0.0</v>
      </c>
    </row>
    <row r="72">
      <c r="A72" s="7" t="inlineStr">
        <is>
          <t xml:space="preserve">                              Cleaning - 530103 - نظافة</t>
        </is>
      </c>
      <c r="B72" s="7" t="inlineStr">
        <is>
          <t>530103</t>
        </is>
      </c>
      <c r="C72" s="11" t="n">
        <v>500.0</v>
      </c>
      <c r="D72" s="11" t="n">
        <v>0.0</v>
      </c>
      <c r="E72" s="11" t="n">
        <v>0.0</v>
      </c>
      <c r="F72" s="11" t="n">
        <v>0.0</v>
      </c>
      <c r="G72" s="11" t="n">
        <v>0.0</v>
      </c>
      <c r="H72" s="11" t="n">
        <v>0.0</v>
      </c>
      <c r="I72" s="11" t="n">
        <v>0.0</v>
      </c>
      <c r="J72" s="11" t="n">
        <v>0.0</v>
      </c>
      <c r="K72" s="11" t="n">
        <v>0.0</v>
      </c>
      <c r="L72" s="11" t="n">
        <v>0.0</v>
      </c>
      <c r="M72" s="11" t="n">
        <v>0.0</v>
      </c>
      <c r="N72" s="11" t="n">
        <v>0.0</v>
      </c>
      <c r="O72" s="11" t="n">
        <v>0.0</v>
      </c>
      <c r="P72" s="11" t="n">
        <v>0.0</v>
      </c>
      <c r="Q72" s="11" t="n">
        <v>0.0</v>
      </c>
      <c r="R72" s="11" t="n">
        <v>500.0</v>
      </c>
      <c r="S72" s="11" t="n">
        <v>0.0</v>
      </c>
      <c r="T72" s="11" t="n">
        <v>0.0</v>
      </c>
      <c r="U72" s="11" t="n">
        <v>0.0</v>
      </c>
      <c r="V72" s="11" t="n">
        <v>0.0</v>
      </c>
      <c r="W72" s="11" t="n">
        <v>0.0</v>
      </c>
      <c r="X72" s="11" t="n">
        <v>0.0</v>
      </c>
      <c r="Y72" s="11" t="n">
        <v>0.0</v>
      </c>
    </row>
    <row r="73">
      <c r="A73" s="7" t="inlineStr">
        <is>
          <t xml:space="preserve">                              Fuel - 530104 - وقود ومحروقات</t>
        </is>
      </c>
      <c r="B73" s="7" t="inlineStr">
        <is>
          <t>530104</t>
        </is>
      </c>
      <c r="C73" s="11" t="n">
        <v>308.0</v>
      </c>
      <c r="D73" s="11" t="n">
        <v>0.0</v>
      </c>
      <c r="E73" s="11" t="n">
        <v>0.0</v>
      </c>
      <c r="F73" s="11" t="n">
        <v>0.0</v>
      </c>
      <c r="G73" s="11" t="n">
        <v>0.0</v>
      </c>
      <c r="H73" s="11" t="n">
        <v>0.0</v>
      </c>
      <c r="I73" s="11" t="n">
        <v>0.0</v>
      </c>
      <c r="J73" s="11" t="n">
        <v>0.0</v>
      </c>
      <c r="K73" s="11" t="n">
        <v>0.0</v>
      </c>
      <c r="L73" s="11" t="n">
        <v>0.0</v>
      </c>
      <c r="M73" s="11" t="n">
        <v>0.0</v>
      </c>
      <c r="N73" s="11" t="n">
        <v>0.0</v>
      </c>
      <c r="O73" s="11" t="n">
        <v>0.0</v>
      </c>
      <c r="P73" s="11" t="n">
        <v>0.0</v>
      </c>
      <c r="Q73" s="11" t="n">
        <v>0.0</v>
      </c>
      <c r="R73" s="11" t="n">
        <v>88.0</v>
      </c>
      <c r="S73" s="11" t="n">
        <v>0.0</v>
      </c>
      <c r="T73" s="11" t="n">
        <v>0.0</v>
      </c>
      <c r="U73" s="11" t="n">
        <v>0.0</v>
      </c>
      <c r="V73" s="11" t="n">
        <v>0.0</v>
      </c>
      <c r="W73" s="11" t="n">
        <v>220.0</v>
      </c>
      <c r="X73" s="11" t="n">
        <v>0.0</v>
      </c>
      <c r="Y73" s="11" t="n">
        <v>0.0</v>
      </c>
    </row>
    <row r="74">
      <c r="A74" s="7" t="inlineStr">
        <is>
          <t xml:space="preserve">                              Bank service charges - 530105 - خدمات بنكية</t>
        </is>
      </c>
      <c r="B74" s="7" t="inlineStr">
        <is>
          <t>530105</t>
        </is>
      </c>
      <c r="C74" s="11" t="n">
        <v>5321.93</v>
      </c>
      <c r="D74" s="11" t="n">
        <v>0.0</v>
      </c>
      <c r="E74" s="11" t="n">
        <v>0.0</v>
      </c>
      <c r="F74" s="11" t="n">
        <v>0.0</v>
      </c>
      <c r="G74" s="11" t="n">
        <v>0.0</v>
      </c>
      <c r="H74" s="11" t="n">
        <v>0.0</v>
      </c>
      <c r="I74" s="11" t="n">
        <v>0.0</v>
      </c>
      <c r="J74" s="11" t="n">
        <v>0.0</v>
      </c>
      <c r="K74" s="11" t="n">
        <v>0.0</v>
      </c>
      <c r="L74" s="11" t="n">
        <v>0.0</v>
      </c>
      <c r="M74" s="11" t="n">
        <v>0.0</v>
      </c>
      <c r="N74" s="11" t="n">
        <v>0.0</v>
      </c>
      <c r="O74" s="11" t="n">
        <v>1153.44</v>
      </c>
      <c r="P74" s="11" t="n">
        <v>0.0</v>
      </c>
      <c r="Q74" s="11" t="n">
        <v>0.0</v>
      </c>
      <c r="R74" s="11" t="n">
        <v>4168.49</v>
      </c>
      <c r="S74" s="11" t="n">
        <v>0.0</v>
      </c>
      <c r="T74" s="11" t="n">
        <v>0.0</v>
      </c>
      <c r="U74" s="11" t="n">
        <v>0.0</v>
      </c>
      <c r="V74" s="11" t="n">
        <v>0.0</v>
      </c>
      <c r="W74" s="11" t="n">
        <v>0.0</v>
      </c>
      <c r="X74" s="11" t="n">
        <v>0.0</v>
      </c>
      <c r="Y74" s="11" t="n">
        <v>0.0</v>
      </c>
    </row>
    <row r="75">
      <c r="A75" s="7" t="inlineStr">
        <is>
          <t xml:space="preserve">                              Marketing commission - 530107 - عمولات تسويق</t>
        </is>
      </c>
      <c r="B75" s="7" t="inlineStr">
        <is>
          <t>530107</t>
        </is>
      </c>
      <c r="C75" s="11" t="n">
        <v>35234.78</v>
      </c>
      <c r="D75" s="11" t="n">
        <v>0.0</v>
      </c>
      <c r="E75" s="11" t="n">
        <v>0.0</v>
      </c>
      <c r="F75" s="11" t="n">
        <v>0.0</v>
      </c>
      <c r="G75" s="11" t="n">
        <v>0.0</v>
      </c>
      <c r="H75" s="11" t="n">
        <v>0.0</v>
      </c>
      <c r="I75" s="11" t="n">
        <v>0.0</v>
      </c>
      <c r="J75" s="11" t="n">
        <v>0.0</v>
      </c>
      <c r="K75" s="11" t="n">
        <v>0.0</v>
      </c>
      <c r="L75" s="11" t="n">
        <v>30434.78</v>
      </c>
      <c r="M75" s="11" t="n">
        <v>0.0</v>
      </c>
      <c r="N75" s="11" t="n">
        <v>4800.0</v>
      </c>
      <c r="O75" s="11" t="n">
        <v>0.0</v>
      </c>
      <c r="P75" s="11" t="n">
        <v>0.0</v>
      </c>
      <c r="Q75" s="11" t="n">
        <v>0.0</v>
      </c>
      <c r="R75" s="11" t="n">
        <v>0.0</v>
      </c>
      <c r="S75" s="11" t="n">
        <v>0.0</v>
      </c>
      <c r="T75" s="11" t="n">
        <v>0.0</v>
      </c>
      <c r="U75" s="11" t="n">
        <v>0.0</v>
      </c>
      <c r="V75" s="11" t="n">
        <v>0.0</v>
      </c>
      <c r="W75" s="11" t="n">
        <v>0.0</v>
      </c>
      <c r="X75" s="11" t="n">
        <v>0.0</v>
      </c>
      <c r="Y75" s="11" t="n">
        <v>0.0</v>
      </c>
    </row>
    <row r="76">
      <c r="A76" s="7" t="inlineStr">
        <is>
          <t xml:space="preserve">                              Technical and electronic tools - 530116 - ادوات تقنية والكترونية وعدد</t>
        </is>
      </c>
      <c r="B76" s="7" t="inlineStr">
        <is>
          <t>530116</t>
        </is>
      </c>
      <c r="C76" s="11" t="n">
        <v>4298.52</v>
      </c>
      <c r="D76" s="11" t="n">
        <v>949.0</v>
      </c>
      <c r="E76" s="11" t="n">
        <v>0.0</v>
      </c>
      <c r="F76" s="11" t="n">
        <v>0.0</v>
      </c>
      <c r="G76" s="11" t="n">
        <v>0.0</v>
      </c>
      <c r="H76" s="11" t="n">
        <v>0.0</v>
      </c>
      <c r="I76" s="11" t="n">
        <v>0.0</v>
      </c>
      <c r="J76" s="11" t="n">
        <v>0.0</v>
      </c>
      <c r="K76" s="11" t="n">
        <v>0.0</v>
      </c>
      <c r="L76" s="11" t="n">
        <v>0.0</v>
      </c>
      <c r="M76" s="11" t="n">
        <v>0.0</v>
      </c>
      <c r="N76" s="11" t="n">
        <v>16.53</v>
      </c>
      <c r="O76" s="11" t="n">
        <v>0.0</v>
      </c>
      <c r="P76" s="11" t="n">
        <v>0.0</v>
      </c>
      <c r="Q76" s="11" t="n">
        <v>0.0</v>
      </c>
      <c r="R76" s="11" t="n">
        <v>1000.0</v>
      </c>
      <c r="S76" s="11" t="n">
        <v>0.0</v>
      </c>
      <c r="T76" s="11" t="n">
        <v>2332.99</v>
      </c>
      <c r="U76" s="11" t="n">
        <v>0.0</v>
      </c>
      <c r="V76" s="11" t="n">
        <v>0.0</v>
      </c>
      <c r="W76" s="11" t="n">
        <v>0.0</v>
      </c>
      <c r="X76" s="11" t="n">
        <v>0.0</v>
      </c>
      <c r="Y76" s="11" t="n">
        <v>0.0</v>
      </c>
    </row>
    <row r="77">
      <c r="A77" s="7" t="inlineStr">
        <is>
          <t xml:space="preserve">                              Empoyees bonus - 530203 - مكافاة موظفين</t>
        </is>
      </c>
      <c r="B77" s="7" t="inlineStr">
        <is>
          <t>530203</t>
        </is>
      </c>
      <c r="C77" s="11" t="n">
        <v>86661.6</v>
      </c>
      <c r="D77" s="11" t="n">
        <v>0.0</v>
      </c>
      <c r="E77" s="11" t="n">
        <v>0.0</v>
      </c>
      <c r="F77" s="11" t="n">
        <v>0.0</v>
      </c>
      <c r="G77" s="11" t="n">
        <v>0.0</v>
      </c>
      <c r="H77" s="11" t="n">
        <v>0.0</v>
      </c>
      <c r="I77" s="11" t="n">
        <v>0.0</v>
      </c>
      <c r="J77" s="11" t="n">
        <v>0.0</v>
      </c>
      <c r="K77" s="11" t="n">
        <v>0.0</v>
      </c>
      <c r="L77" s="11" t="n">
        <v>0.0</v>
      </c>
      <c r="M77" s="11" t="n">
        <v>0.0</v>
      </c>
      <c r="N77" s="11" t="n">
        <v>0.0</v>
      </c>
      <c r="O77" s="11" t="n">
        <v>0.0</v>
      </c>
      <c r="P77" s="11" t="n">
        <v>0.0</v>
      </c>
      <c r="Q77" s="11" t="n">
        <v>69661.6</v>
      </c>
      <c r="R77" s="11" t="n">
        <v>0.0</v>
      </c>
      <c r="S77" s="11" t="n">
        <v>0.0</v>
      </c>
      <c r="T77" s="11" t="n">
        <v>0.0</v>
      </c>
      <c r="U77" s="11" t="n">
        <v>0.0</v>
      </c>
      <c r="V77" s="11" t="n">
        <v>0.0</v>
      </c>
      <c r="W77" s="11" t="n">
        <v>0.0</v>
      </c>
      <c r="X77" s="11" t="n">
        <v>17000.0</v>
      </c>
      <c r="Y77" s="11" t="n">
        <v>0.0</v>
      </c>
    </row>
    <row r="78">
      <c r="A78" s="7" t="inlineStr">
        <is>
          <t xml:space="preserve">                              Papers - 530404 - ورق تصوير</t>
        </is>
      </c>
      <c r="B78" s="7" t="inlineStr">
        <is>
          <t>530404</t>
        </is>
      </c>
      <c r="C78" s="11" t="n">
        <v>17.0</v>
      </c>
      <c r="D78" s="11" t="n">
        <v>0.0</v>
      </c>
      <c r="E78" s="11" t="n">
        <v>0.0</v>
      </c>
      <c r="F78" s="11" t="n">
        <v>0.0</v>
      </c>
      <c r="G78" s="11" t="n">
        <v>0.0</v>
      </c>
      <c r="H78" s="11" t="n">
        <v>0.0</v>
      </c>
      <c r="I78" s="11" t="n">
        <v>0.0</v>
      </c>
      <c r="J78" s="11" t="n">
        <v>0.0</v>
      </c>
      <c r="K78" s="11" t="n">
        <v>0.0</v>
      </c>
      <c r="L78" s="11" t="n">
        <v>0.0</v>
      </c>
      <c r="M78" s="11" t="n">
        <v>0.0</v>
      </c>
      <c r="N78" s="11" t="n">
        <v>0.0</v>
      </c>
      <c r="O78" s="11" t="n">
        <v>0.0</v>
      </c>
      <c r="P78" s="11" t="n">
        <v>0.0</v>
      </c>
      <c r="Q78" s="11" t="n">
        <v>0.0</v>
      </c>
      <c r="R78" s="11" t="n">
        <v>0.0</v>
      </c>
      <c r="S78" s="11" t="n">
        <v>0.0</v>
      </c>
      <c r="T78" s="11" t="n">
        <v>17.0</v>
      </c>
      <c r="U78" s="11" t="n">
        <v>0.0</v>
      </c>
      <c r="V78" s="11" t="n">
        <v>0.0</v>
      </c>
      <c r="W78" s="11" t="n">
        <v>0.0</v>
      </c>
      <c r="X78" s="11" t="n">
        <v>0.0</v>
      </c>
      <c r="Y78" s="11" t="n">
        <v>0.0</v>
      </c>
    </row>
    <row r="79">
      <c r="A79" s="26" t="inlineStr">
        <is>
          <t xml:space="preserve">                    Total for Projects Direct Operating Cost 52 - تكلفة المشاريع المباشرة</t>
        </is>
      </c>
      <c r="B79" t="inlineStr">
        <is>
          <t>52</t>
        </is>
      </c>
      <c r="C79" s="5" t="n">
        <f>(+(C27)+(C28)+(C29)+(C30)+(C31)+(C32)+(C33)+(C34)+(C35)+(C36)+(C37)+(C38)+(C39)+(C40)+(C41)+(C42)+(C43)+(C44)+(C45)+(C46)+(C47)+(C48)+(C49)+(C50)+(C51)+(C52)+(C53)+(C54)+(C55)+(C56)+(C57)+(C58)+(C59)+(C60)+(C61)+(C62)+(C63)+(C64)+(C65)+(C66)+(C67)+(C68)+(C69)+(C70)+(C71)+(C72)+(C73)+(C74)+(C75)+(C76)+(C77)+(C78))</f>
        <v>0.0</v>
      </c>
      <c r="D79" s="5" t="n">
        <f>(+(D27)+(D28)+(D29)+(D30)+(D31)+(D32)+(D33)+(D34)+(D35)+(D36)+(D37)+(D38)+(D39)+(D40)+(D41)+(D42)+(D43)+(D44)+(D45)+(D46)+(D47)+(D48)+(D49)+(D50)+(D51)+(D52)+(D53)+(D54)+(D55)+(D56)+(D57)+(D58)+(D59)+(D60)+(D61)+(D62)+(D63)+(D64)+(D65)+(D66)+(D67)+(D68)+(D69)+(D70)+(D71)+(D72)+(D73)+(D74)+(D75)+(D76)+(D77)+(D78))</f>
        <v>0.0</v>
      </c>
      <c r="E79" s="5" t="n">
        <f>(+(E27)+(E28)+(E29)+(E30)+(E31)+(E32)+(E33)+(E34)+(E35)+(E36)+(E37)+(E38)+(E39)+(E40)+(E41)+(E42)+(E43)+(E44)+(E45)+(E46)+(E47)+(E48)+(E49)+(E50)+(E51)+(E52)+(E53)+(E54)+(E55)+(E56)+(E57)+(E58)+(E59)+(E60)+(E61)+(E62)+(E63)+(E64)+(E65)+(E66)+(E67)+(E68)+(E69)+(E70)+(E71)+(E72)+(E73)+(E74)+(E75)+(E76)+(E77)+(E78))</f>
        <v>0.0</v>
      </c>
      <c r="F79" s="5" t="n">
        <f>(+(F27)+(F28)+(F29)+(F30)+(F31)+(F32)+(F33)+(F34)+(F35)+(F36)+(F37)+(F38)+(F39)+(F40)+(F41)+(F42)+(F43)+(F44)+(F45)+(F46)+(F47)+(F48)+(F49)+(F50)+(F51)+(F52)+(F53)+(F54)+(F55)+(F56)+(F57)+(F58)+(F59)+(F60)+(F61)+(F62)+(F63)+(F64)+(F65)+(F66)+(F67)+(F68)+(F69)+(F70)+(F71)+(F72)+(F73)+(F74)+(F75)+(F76)+(F77)+(F78))</f>
        <v>0.0</v>
      </c>
      <c r="G79" s="5" t="n">
        <f>(+(G27)+(G28)+(G29)+(G30)+(G31)+(G32)+(G33)+(G34)+(G35)+(G36)+(G37)+(G38)+(G39)+(G40)+(G41)+(G42)+(G43)+(G44)+(G45)+(G46)+(G47)+(G48)+(G49)+(G50)+(G51)+(G52)+(G53)+(G54)+(G55)+(G56)+(G57)+(G58)+(G59)+(G60)+(G61)+(G62)+(G63)+(G64)+(G65)+(G66)+(G67)+(G68)+(G69)+(G70)+(G71)+(G72)+(G73)+(G74)+(G75)+(G76)+(G77)+(G78))</f>
        <v>0.0</v>
      </c>
      <c r="H79" s="5" t="n">
        <f>(+(H27)+(H28)+(H29)+(H30)+(H31)+(H32)+(H33)+(H34)+(H35)+(H36)+(H37)+(H38)+(H39)+(H40)+(H41)+(H42)+(H43)+(H44)+(H45)+(H46)+(H47)+(H48)+(H49)+(H50)+(H51)+(H52)+(H53)+(H54)+(H55)+(H56)+(H57)+(H58)+(H59)+(H60)+(H61)+(H62)+(H63)+(H64)+(H65)+(H66)+(H67)+(H68)+(H69)+(H70)+(H71)+(H72)+(H73)+(H74)+(H75)+(H76)+(H77)+(H78))</f>
        <v>0.0</v>
      </c>
      <c r="I79" s="5" t="n">
        <f>(+(I27)+(I28)+(I29)+(I30)+(I31)+(I32)+(I33)+(I34)+(I35)+(I36)+(I37)+(I38)+(I39)+(I40)+(I41)+(I42)+(I43)+(I44)+(I45)+(I46)+(I47)+(I48)+(I49)+(I50)+(I51)+(I52)+(I53)+(I54)+(I55)+(I56)+(I57)+(I58)+(I59)+(I60)+(I61)+(I62)+(I63)+(I64)+(I65)+(I66)+(I67)+(I68)+(I69)+(I70)+(I71)+(I72)+(I73)+(I74)+(I75)+(I76)+(I77)+(I78))</f>
        <v>0.0</v>
      </c>
      <c r="J79" s="5" t="n">
        <f>(+(J27)+(J28)+(J29)+(J30)+(J31)+(J32)+(J33)+(J34)+(J35)+(J36)+(J37)+(J38)+(J39)+(J40)+(J41)+(J42)+(J43)+(J44)+(J45)+(J46)+(J47)+(J48)+(J49)+(J50)+(J51)+(J52)+(J53)+(J54)+(J55)+(J56)+(J57)+(J58)+(J59)+(J60)+(J61)+(J62)+(J63)+(J64)+(J65)+(J66)+(J67)+(J68)+(J69)+(J70)+(J71)+(J72)+(J73)+(J74)+(J75)+(J76)+(J77)+(J78))</f>
        <v>0.0</v>
      </c>
      <c r="K79" s="5" t="n">
        <f>(+(K27)+(K28)+(K29)+(K30)+(K31)+(K32)+(K33)+(K34)+(K35)+(K36)+(K37)+(K38)+(K39)+(K40)+(K41)+(K42)+(K43)+(K44)+(K45)+(K46)+(K47)+(K48)+(K49)+(K50)+(K51)+(K52)+(K53)+(K54)+(K55)+(K56)+(K57)+(K58)+(K59)+(K60)+(K61)+(K62)+(K63)+(K64)+(K65)+(K66)+(K67)+(K68)+(K69)+(K70)+(K71)+(K72)+(K73)+(K74)+(K75)+(K76)+(K77)+(K78))</f>
        <v>0.0</v>
      </c>
      <c r="L79" s="5" t="n">
        <f>(+(L27)+(L28)+(L29)+(L30)+(L31)+(L32)+(L33)+(L34)+(L35)+(L36)+(L37)+(L38)+(L39)+(L40)+(L41)+(L42)+(L43)+(L44)+(L45)+(L46)+(L47)+(L48)+(L49)+(L50)+(L51)+(L52)+(L53)+(L54)+(L55)+(L56)+(L57)+(L58)+(L59)+(L60)+(L61)+(L62)+(L63)+(L64)+(L65)+(L66)+(L67)+(L68)+(L69)+(L70)+(L71)+(L72)+(L73)+(L74)+(L75)+(L76)+(L77)+(L78))</f>
        <v>0.0</v>
      </c>
      <c r="M79" s="5" t="n">
        <f>(+(M27)+(M28)+(M29)+(M30)+(M31)+(M32)+(M33)+(M34)+(M35)+(M36)+(M37)+(M38)+(M39)+(M40)+(M41)+(M42)+(M43)+(M44)+(M45)+(M46)+(M47)+(M48)+(M49)+(M50)+(M51)+(M52)+(M53)+(M54)+(M55)+(M56)+(M57)+(M58)+(M59)+(M60)+(M61)+(M62)+(M63)+(M64)+(M65)+(M66)+(M67)+(M68)+(M69)+(M70)+(M71)+(M72)+(M73)+(M74)+(M75)+(M76)+(M77)+(M78))</f>
        <v>0.0</v>
      </c>
      <c r="N79" s="5" t="n">
        <f>(+(N27)+(N28)+(N29)+(N30)+(N31)+(N32)+(N33)+(N34)+(N35)+(N36)+(N37)+(N38)+(N39)+(N40)+(N41)+(N42)+(N43)+(N44)+(N45)+(N46)+(N47)+(N48)+(N49)+(N50)+(N51)+(N52)+(N53)+(N54)+(N55)+(N56)+(N57)+(N58)+(N59)+(N60)+(N61)+(N62)+(N63)+(N64)+(N65)+(N66)+(N67)+(N68)+(N69)+(N70)+(N71)+(N72)+(N73)+(N74)+(N75)+(N76)+(N77)+(N78))</f>
        <v>0.0</v>
      </c>
      <c r="O79" s="5" t="n">
        <f>(+(O27)+(O28)+(O29)+(O30)+(O31)+(O32)+(O33)+(O34)+(O35)+(O36)+(O37)+(O38)+(O39)+(O40)+(O41)+(O42)+(O43)+(O44)+(O45)+(O46)+(O47)+(O48)+(O49)+(O50)+(O51)+(O52)+(O53)+(O54)+(O55)+(O56)+(O57)+(O58)+(O59)+(O60)+(O61)+(O62)+(O63)+(O64)+(O65)+(O66)+(O67)+(O68)+(O69)+(O70)+(O71)+(O72)+(O73)+(O74)+(O75)+(O76)+(O77)+(O78))</f>
        <v>0.0</v>
      </c>
      <c r="P79" s="5" t="n">
        <f>(+(P27)+(P28)+(P29)+(P30)+(P31)+(P32)+(P33)+(P34)+(P35)+(P36)+(P37)+(P38)+(P39)+(P40)+(P41)+(P42)+(P43)+(P44)+(P45)+(P46)+(P47)+(P48)+(P49)+(P50)+(P51)+(P52)+(P53)+(P54)+(P55)+(P56)+(P57)+(P58)+(P59)+(P60)+(P61)+(P62)+(P63)+(P64)+(P65)+(P66)+(P67)+(P68)+(P69)+(P70)+(P71)+(P72)+(P73)+(P74)+(P75)+(P76)+(P77)+(P78))</f>
        <v>0.0</v>
      </c>
      <c r="Q79" s="5" t="n">
        <f>(+(Q27)+(Q28)+(Q29)+(Q30)+(Q31)+(Q32)+(Q33)+(Q34)+(Q35)+(Q36)+(Q37)+(Q38)+(Q39)+(Q40)+(Q41)+(Q42)+(Q43)+(Q44)+(Q45)+(Q46)+(Q47)+(Q48)+(Q49)+(Q50)+(Q51)+(Q52)+(Q53)+(Q54)+(Q55)+(Q56)+(Q57)+(Q58)+(Q59)+(Q60)+(Q61)+(Q62)+(Q63)+(Q64)+(Q65)+(Q66)+(Q67)+(Q68)+(Q69)+(Q70)+(Q71)+(Q72)+(Q73)+(Q74)+(Q75)+(Q76)+(Q77)+(Q78))</f>
        <v>0.0</v>
      </c>
      <c r="R79" s="5" t="n">
        <f>(+(R27)+(R28)+(R29)+(R30)+(R31)+(R32)+(R33)+(R34)+(R35)+(R36)+(R37)+(R38)+(R39)+(R40)+(R41)+(R42)+(R43)+(R44)+(R45)+(R46)+(R47)+(R48)+(R49)+(R50)+(R51)+(R52)+(R53)+(R54)+(R55)+(R56)+(R57)+(R58)+(R59)+(R60)+(R61)+(R62)+(R63)+(R64)+(R65)+(R66)+(R67)+(R68)+(R69)+(R70)+(R71)+(R72)+(R73)+(R74)+(R75)+(R76)+(R77)+(R78))</f>
        <v>0.0</v>
      </c>
      <c r="S79" s="5" t="n">
        <f>(+(S27)+(S28)+(S29)+(S30)+(S31)+(S32)+(S33)+(S34)+(S35)+(S36)+(S37)+(S38)+(S39)+(S40)+(S41)+(S42)+(S43)+(S44)+(S45)+(S46)+(S47)+(S48)+(S49)+(S50)+(S51)+(S52)+(S53)+(S54)+(S55)+(S56)+(S57)+(S58)+(S59)+(S60)+(S61)+(S62)+(S63)+(S64)+(S65)+(S66)+(S67)+(S68)+(S69)+(S70)+(S71)+(S72)+(S73)+(S74)+(S75)+(S76)+(S77)+(S78))</f>
        <v>0.0</v>
      </c>
      <c r="T79" s="5" t="n">
        <f>(+(T27)+(T28)+(T29)+(T30)+(T31)+(T32)+(T33)+(T34)+(T35)+(T36)+(T37)+(T38)+(T39)+(T40)+(T41)+(T42)+(T43)+(T44)+(T45)+(T46)+(T47)+(T48)+(T49)+(T50)+(T51)+(T52)+(T53)+(T54)+(T55)+(T56)+(T57)+(T58)+(T59)+(T60)+(T61)+(T62)+(T63)+(T64)+(T65)+(T66)+(T67)+(T68)+(T69)+(T70)+(T71)+(T72)+(T73)+(T74)+(T75)+(T76)+(T77)+(T78))</f>
        <v>0.0</v>
      </c>
      <c r="U79" s="5" t="n">
        <f>(+(U27)+(U28)+(U29)+(U30)+(U31)+(U32)+(U33)+(U34)+(U35)+(U36)+(U37)+(U38)+(U39)+(U40)+(U41)+(U42)+(U43)+(U44)+(U45)+(U46)+(U47)+(U48)+(U49)+(U50)+(U51)+(U52)+(U53)+(U54)+(U55)+(U56)+(U57)+(U58)+(U59)+(U60)+(U61)+(U62)+(U63)+(U64)+(U65)+(U66)+(U67)+(U68)+(U69)+(U70)+(U71)+(U72)+(U73)+(U74)+(U75)+(U76)+(U77)+(U78))</f>
        <v>0.0</v>
      </c>
      <c r="V79" s="5" t="n">
        <f>(+(V27)+(V28)+(V29)+(V30)+(V31)+(V32)+(V33)+(V34)+(V35)+(V36)+(V37)+(V38)+(V39)+(V40)+(V41)+(V42)+(V43)+(V44)+(V45)+(V46)+(V47)+(V48)+(V49)+(V50)+(V51)+(V52)+(V53)+(V54)+(V55)+(V56)+(V57)+(V58)+(V59)+(V60)+(V61)+(V62)+(V63)+(V64)+(V65)+(V66)+(V67)+(V68)+(V69)+(V70)+(V71)+(V72)+(V73)+(V74)+(V75)+(V76)+(V77)+(V78))</f>
        <v>0.0</v>
      </c>
      <c r="W79" s="5" t="n">
        <f>(+(W27)+(W28)+(W29)+(W30)+(W31)+(W32)+(W33)+(W34)+(W35)+(W36)+(W37)+(W38)+(W39)+(W40)+(W41)+(W42)+(W43)+(W44)+(W45)+(W46)+(W47)+(W48)+(W49)+(W50)+(W51)+(W52)+(W53)+(W54)+(W55)+(W56)+(W57)+(W58)+(W59)+(W60)+(W61)+(W62)+(W63)+(W64)+(W65)+(W66)+(W67)+(W68)+(W69)+(W70)+(W71)+(W72)+(W73)+(W74)+(W75)+(W76)+(W77)+(W78))</f>
        <v>0.0</v>
      </c>
      <c r="X79" s="5" t="n">
        <f>(+(X27)+(X28)+(X29)+(X30)+(X31)+(X32)+(X33)+(X34)+(X35)+(X36)+(X37)+(X38)+(X39)+(X40)+(X41)+(X42)+(X43)+(X44)+(X45)+(X46)+(X47)+(X48)+(X49)+(X50)+(X51)+(X52)+(X53)+(X54)+(X55)+(X56)+(X57)+(X58)+(X59)+(X60)+(X61)+(X62)+(X63)+(X64)+(X65)+(X66)+(X67)+(X68)+(X69)+(X70)+(X71)+(X72)+(X73)+(X74)+(X75)+(X76)+(X77)+(X78))</f>
        <v>0.0</v>
      </c>
      <c r="Y79" s="5" t="n">
        <f>(+(Y27)+(Y28)+(Y29)+(Y30)+(Y31)+(Y32)+(Y33)+(Y34)+(Y35)+(Y36)+(Y37)+(Y38)+(Y39)+(Y40)+(Y41)+(Y42)+(Y43)+(Y44)+(Y45)+(Y46)+(Y47)+(Y48)+(Y49)+(Y50)+(Y51)+(Y52)+(Y53)+(Y54)+(Y55)+(Y56)+(Y57)+(Y58)+(Y59)+(Y60)+(Y61)+(Y62)+(Y63)+(Y64)+(Y65)+(Y66)+(Y67)+(Y68)+(Y69)+(Y70)+(Y71)+(Y72)+(Y73)+(Y74)+(Y75)+(Y76)+(Y77)+(Y78))</f>
        <v>0.0</v>
      </c>
    </row>
    <row r="81">
      <c r="A81" s="26" t="inlineStr">
        <is>
          <t xml:space="preserve">          Total for Project expenses - 5 - مصاريف المشاريع</t>
        </is>
      </c>
      <c r="B81" t="inlineStr">
        <is>
          <t>5</t>
        </is>
      </c>
      <c r="C81" s="5" t="n">
        <f>(+(C16)+(C25)+(C79))</f>
        <v>0.0</v>
      </c>
      <c r="D81" s="5" t="n">
        <f>(+(D16)+(D25)+(D79))</f>
        <v>0.0</v>
      </c>
      <c r="E81" s="5" t="n">
        <f>(+(E16)+(E25)+(E79))</f>
        <v>0.0</v>
      </c>
      <c r="F81" s="5" t="n">
        <f>(+(F16)+(F25)+(F79))</f>
        <v>0.0</v>
      </c>
      <c r="G81" s="5" t="n">
        <f>(+(G16)+(G25)+(G79))</f>
        <v>0.0</v>
      </c>
      <c r="H81" s="5" t="n">
        <f>(+(H16)+(H25)+(H79))</f>
        <v>0.0</v>
      </c>
      <c r="I81" s="5" t="n">
        <f>(+(I16)+(I25)+(I79))</f>
        <v>0.0</v>
      </c>
      <c r="J81" s="5" t="n">
        <f>(+(J16)+(J25)+(J79))</f>
        <v>0.0</v>
      </c>
      <c r="K81" s="5" t="n">
        <f>(+(K16)+(K25)+(K79))</f>
        <v>0.0</v>
      </c>
      <c r="L81" s="5" t="n">
        <f>(+(L16)+(L25)+(L79))</f>
        <v>0.0</v>
      </c>
      <c r="M81" s="5" t="n">
        <f>(+(M16)+(M25)+(M79))</f>
        <v>0.0</v>
      </c>
      <c r="N81" s="5" t="n">
        <f>(+(N16)+(N25)+(N79))</f>
        <v>0.0</v>
      </c>
      <c r="O81" s="5" t="n">
        <f>(+(O16)+(O25)+(O79))</f>
        <v>0.0</v>
      </c>
      <c r="P81" s="5" t="n">
        <f>(+(P16)+(P25)+(P79))</f>
        <v>0.0</v>
      </c>
      <c r="Q81" s="5" t="n">
        <f>(+(Q16)+(Q25)+(Q79))</f>
        <v>0.0</v>
      </c>
      <c r="R81" s="5" t="n">
        <f>(+(R16)+(R25)+(R79))</f>
        <v>0.0</v>
      </c>
      <c r="S81" s="5" t="n">
        <f>(+(S16)+(S25)+(S79))</f>
        <v>0.0</v>
      </c>
      <c r="T81" s="5" t="n">
        <f>(+(T16)+(T25)+(T79))</f>
        <v>0.0</v>
      </c>
      <c r="U81" s="5" t="n">
        <f>(+(U16)+(U25)+(U79))</f>
        <v>0.0</v>
      </c>
      <c r="V81" s="5" t="n">
        <f>(+(V16)+(V25)+(V79))</f>
        <v>0.0</v>
      </c>
      <c r="W81" s="5" t="n">
        <f>(+(W16)+(W25)+(W79))</f>
        <v>0.0</v>
      </c>
      <c r="X81" s="5" t="n">
        <f>(+(X16)+(X25)+(X79))</f>
        <v>0.0</v>
      </c>
      <c r="Y81" s="5" t="n">
        <f>(+(Y16)+(Y25)+(Y79))</f>
        <v>0.0</v>
      </c>
    </row>
    <row r="83">
      <c r="A83" s="26" t="inlineStr">
        <is>
          <t>Total for Cost of Goods Sold</t>
        </is>
      </c>
      <c r="B83" t="inlineStr">
        <is>
          <t/>
        </is>
      </c>
      <c r="C83" s="5" t="n">
        <f>(+(C81))</f>
        <v>0.0</v>
      </c>
      <c r="D83" s="5" t="n">
        <f>(+(D81))</f>
        <v>0.0</v>
      </c>
      <c r="E83" s="5" t="n">
        <f>(+(E81))</f>
        <v>0.0</v>
      </c>
      <c r="F83" s="5" t="n">
        <f>(+(F81))</f>
        <v>0.0</v>
      </c>
      <c r="G83" s="5" t="n">
        <f>(+(G81))</f>
        <v>0.0</v>
      </c>
      <c r="H83" s="5" t="n">
        <f>(+(H81))</f>
        <v>0.0</v>
      </c>
      <c r="I83" s="5" t="n">
        <f>(+(I81))</f>
        <v>0.0</v>
      </c>
      <c r="J83" s="5" t="n">
        <f>(+(J81))</f>
        <v>0.0</v>
      </c>
      <c r="K83" s="5" t="n">
        <f>(+(K81))</f>
        <v>0.0</v>
      </c>
      <c r="L83" s="5" t="n">
        <f>(+(L81))</f>
        <v>0.0</v>
      </c>
      <c r="M83" s="5" t="n">
        <f>(+(M81))</f>
        <v>0.0</v>
      </c>
      <c r="N83" s="5" t="n">
        <f>(+(N81))</f>
        <v>0.0</v>
      </c>
      <c r="O83" s="5" t="n">
        <f>(+(O81))</f>
        <v>0.0</v>
      </c>
      <c r="P83" s="5" t="n">
        <f>(+(P81))</f>
        <v>0.0</v>
      </c>
      <c r="Q83" s="5" t="n">
        <f>(+(Q81))</f>
        <v>0.0</v>
      </c>
      <c r="R83" s="5" t="n">
        <f>(+(R81))</f>
        <v>0.0</v>
      </c>
      <c r="S83" s="5" t="n">
        <f>(+(S81))</f>
        <v>0.0</v>
      </c>
      <c r="T83" s="5" t="n">
        <f>(+(T81))</f>
        <v>0.0</v>
      </c>
      <c r="U83" s="5" t="n">
        <f>(+(U81))</f>
        <v>0.0</v>
      </c>
      <c r="V83" s="5" t="n">
        <f>(+(V81))</f>
        <v>0.0</v>
      </c>
      <c r="W83" s="5" t="n">
        <f>(+(W81))</f>
        <v>0.0</v>
      </c>
      <c r="X83" s="5" t="n">
        <f>(+(X81))</f>
        <v>0.0</v>
      </c>
      <c r="Y83" s="5" t="n">
        <f>(+(Y81))</f>
        <v>0.0</v>
      </c>
    </row>
    <row r="85">
      <c r="A85" s="5" t="inlineStr">
        <is>
          <t>Gross Profit</t>
        </is>
      </c>
      <c r="B85" t="inlineStr">
        <is>
          <t/>
        </is>
      </c>
      <c r="C85" s="5" t="n">
        <f>((+(C11))-(+(C81)))</f>
        <v>0.0</v>
      </c>
      <c r="D85" s="5" t="n">
        <f>((+(D11))-(+(D81)))</f>
        <v>0.0</v>
      </c>
      <c r="E85" s="5" t="n">
        <f>((+(E11))-(+(E81)))</f>
        <v>0.0</v>
      </c>
      <c r="F85" s="5" t="n">
        <f>((+(F11))-(+(F81)))</f>
        <v>0.0</v>
      </c>
      <c r="G85" s="5" t="n">
        <f>((+(G11))-(+(G81)))</f>
        <v>0.0</v>
      </c>
      <c r="H85" s="5" t="n">
        <f>((+(H11))-(+(H81)))</f>
        <v>0.0</v>
      </c>
      <c r="I85" s="5" t="n">
        <f>((+(I11))-(+(I81)))</f>
        <v>0.0</v>
      </c>
      <c r="J85" s="5" t="n">
        <f>((+(J11))-(+(J81)))</f>
        <v>0.0</v>
      </c>
      <c r="K85" s="5" t="n">
        <f>((+(K11))-(+(K81)))</f>
        <v>0.0</v>
      </c>
      <c r="L85" s="5" t="n">
        <f>((+(L11))-(+(L81)))</f>
        <v>0.0</v>
      </c>
      <c r="M85" s="5" t="n">
        <f>((+(M11))-(+(M81)))</f>
        <v>0.0</v>
      </c>
      <c r="N85" s="5" t="n">
        <f>((+(N11))-(+(N81)))</f>
        <v>0.0</v>
      </c>
      <c r="O85" s="5" t="n">
        <f>((+(O11))-(+(O81)))</f>
        <v>0.0</v>
      </c>
      <c r="P85" s="5" t="n">
        <f>((+(P11))-(+(P81)))</f>
        <v>0.0</v>
      </c>
      <c r="Q85" s="5" t="n">
        <f>((+(Q11))-(+(Q81)))</f>
        <v>0.0</v>
      </c>
      <c r="R85" s="5" t="n">
        <f>((+(R11))-(+(R81)))</f>
        <v>0.0</v>
      </c>
      <c r="S85" s="5" t="n">
        <f>((+(S11))-(+(S81)))</f>
        <v>0.0</v>
      </c>
      <c r="T85" s="5" t="n">
        <f>((+(T11))-(+(T81)))</f>
        <v>0.0</v>
      </c>
      <c r="U85" s="5" t="n">
        <f>((+(U11))-(+(U81)))</f>
        <v>0.0</v>
      </c>
      <c r="V85" s="5" t="n">
        <f>((+(V11))-(+(V81)))</f>
        <v>0.0</v>
      </c>
      <c r="W85" s="5" t="n">
        <f>((+(W11))-(+(W81)))</f>
        <v>0.0</v>
      </c>
      <c r="X85" s="5" t="n">
        <f>((+(X11))-(+(X81)))</f>
        <v>0.0</v>
      </c>
      <c r="Y85" s="5" t="n">
        <f>((+(Y11))-(+(Y81)))</f>
        <v>0.0</v>
      </c>
    </row>
    <row r="87">
      <c r="A87" s="7" t="inlineStr">
        <is>
          <t>Operating Expense</t>
        </is>
      </c>
      <c r="B87" s="7" t="inlineStr">
        <is>
          <t/>
        </is>
      </c>
      <c r="C87" t="inlineStr">
        <is>
          <t/>
        </is>
      </c>
      <c r="D87" t="inlineStr">
        <is>
          <t/>
        </is>
      </c>
      <c r="E87" t="inlineStr">
        <is>
          <t/>
        </is>
      </c>
      <c r="F87" t="inlineStr">
        <is>
          <t/>
        </is>
      </c>
      <c r="G87" t="inlineStr">
        <is>
          <t/>
        </is>
      </c>
      <c r="H87" t="inlineStr">
        <is>
          <t/>
        </is>
      </c>
      <c r="I87" t="inlineStr">
        <is>
          <t/>
        </is>
      </c>
      <c r="J87" t="inlineStr">
        <is>
          <t/>
        </is>
      </c>
      <c r="K87" t="inlineStr">
        <is>
          <t/>
        </is>
      </c>
      <c r="L87" t="inlineStr">
        <is>
          <t/>
        </is>
      </c>
      <c r="M87" t="inlineStr">
        <is>
          <t/>
        </is>
      </c>
      <c r="N87" t="inlineStr">
        <is>
          <t/>
        </is>
      </c>
      <c r="O87" t="inlineStr">
        <is>
          <t/>
        </is>
      </c>
      <c r="P87" t="inlineStr">
        <is>
          <t/>
        </is>
      </c>
      <c r="Q87" t="inlineStr">
        <is>
          <t/>
        </is>
      </c>
      <c r="R87" t="inlineStr">
        <is>
          <t/>
        </is>
      </c>
      <c r="S87" t="inlineStr">
        <is>
          <t/>
        </is>
      </c>
      <c r="T87" t="inlineStr">
        <is>
          <t/>
        </is>
      </c>
      <c r="U87" t="inlineStr">
        <is>
          <t/>
        </is>
      </c>
      <c r="V87" t="inlineStr">
        <is>
          <t/>
        </is>
      </c>
      <c r="W87" t="inlineStr">
        <is>
          <t/>
        </is>
      </c>
      <c r="X87" t="inlineStr">
        <is>
          <t/>
        </is>
      </c>
      <c r="Y87" t="inlineStr">
        <is>
          <t/>
        </is>
      </c>
    </row>
    <row r="88">
      <c r="A88" s="7" t="inlineStr">
        <is>
          <t xml:space="preserve">          Purchase Discounts</t>
        </is>
      </c>
      <c r="B88" s="7" t="inlineStr">
        <is>
          <t/>
        </is>
      </c>
      <c r="C88" s="11" t="n">
        <v>-274.5</v>
      </c>
      <c r="D88" s="11" t="n">
        <v>0.0</v>
      </c>
      <c r="E88" s="11" t="n">
        <v>0.0</v>
      </c>
      <c r="F88" s="11" t="n">
        <v>0.0</v>
      </c>
      <c r="G88" s="11" t="n">
        <v>0.0</v>
      </c>
      <c r="H88" s="11" t="n">
        <v>0.0</v>
      </c>
      <c r="I88" s="11" t="n">
        <v>0.0</v>
      </c>
      <c r="J88" s="11" t="n">
        <v>0.0</v>
      </c>
      <c r="K88" s="11" t="n">
        <v>0.0</v>
      </c>
      <c r="L88" s="11" t="n">
        <v>0.0</v>
      </c>
      <c r="M88" s="11" t="n">
        <v>0.0</v>
      </c>
      <c r="N88" s="11" t="n">
        <v>0.0</v>
      </c>
      <c r="O88" s="11" t="n">
        <v>0.0</v>
      </c>
      <c r="P88" s="11" t="n">
        <v>0.0</v>
      </c>
      <c r="Q88" s="11" t="n">
        <v>0.0</v>
      </c>
      <c r="R88" s="11" t="n">
        <v>0.0</v>
      </c>
      <c r="S88" s="11" t="n">
        <v>0.0</v>
      </c>
      <c r="T88" s="11" t="n">
        <v>0.0</v>
      </c>
      <c r="U88" s="11" t="n">
        <v>0.0</v>
      </c>
      <c r="V88" s="11" t="n">
        <v>0.0</v>
      </c>
      <c r="W88" s="11" t="n">
        <v>0.0</v>
      </c>
      <c r="X88" s="11" t="n">
        <v>0.0</v>
      </c>
      <c r="Y88" s="11" t="n">
        <v>-274.5</v>
      </c>
    </row>
    <row r="89">
      <c r="A89" s="7" t="inlineStr">
        <is>
          <t xml:space="preserve">          General and administrative expenses - 6 - المصاريف العمومية و الإدارية</t>
        </is>
      </c>
      <c r="B89" s="7" t="inlineStr">
        <is>
          <t>6</t>
        </is>
      </c>
      <c r="C89" s="11" t="n">
        <v>0.0</v>
      </c>
      <c r="D89" s="11" t="n">
        <v>0.0</v>
      </c>
      <c r="E89" s="11" t="n">
        <v>0.0</v>
      </c>
      <c r="F89" s="11" t="n">
        <v>0.0</v>
      </c>
      <c r="G89" s="11" t="n">
        <v>0.0</v>
      </c>
      <c r="H89" s="11" t="n">
        <v>0.0</v>
      </c>
      <c r="I89" s="11" t="n">
        <v>0.0</v>
      </c>
      <c r="J89" s="11" t="n">
        <v>0.0</v>
      </c>
      <c r="K89" s="11" t="n">
        <v>0.0</v>
      </c>
      <c r="L89" s="11" t="n">
        <v>0.0</v>
      </c>
      <c r="M89" s="11" t="n">
        <v>0.0</v>
      </c>
      <c r="N89" s="11" t="n">
        <v>0.0</v>
      </c>
      <c r="O89" s="11" t="n">
        <v>0.0</v>
      </c>
      <c r="P89" s="11" t="n">
        <v>0.0</v>
      </c>
      <c r="Q89" s="11" t="n">
        <v>0.0</v>
      </c>
      <c r="R89" s="11" t="n">
        <v>0.0</v>
      </c>
      <c r="S89" s="11" t="n">
        <v>0.0</v>
      </c>
      <c r="T89" s="11" t="n">
        <v>0.0</v>
      </c>
      <c r="U89" s="11" t="n">
        <v>0.0</v>
      </c>
      <c r="V89" s="11" t="n">
        <v>0.0</v>
      </c>
      <c r="W89" s="11" t="n">
        <v>0.0</v>
      </c>
      <c r="X89" s="11" t="n">
        <v>0.0</v>
      </c>
      <c r="Y89" s="11" t="n">
        <v>0.0</v>
      </c>
    </row>
    <row r="90">
      <c r="A90" s="7" t="inlineStr">
        <is>
          <t xml:space="preserve">                    Payroll and Payroll Related - 61 - الرواتب الادارية وملحقاتها</t>
        </is>
      </c>
      <c r="B90" s="7" t="inlineStr">
        <is>
          <t>61</t>
        </is>
      </c>
      <c r="C90" s="11" t="n">
        <v>0.0</v>
      </c>
      <c r="D90" s="11" t="n">
        <v>0.0</v>
      </c>
      <c r="E90" s="11" t="n">
        <v>0.0</v>
      </c>
      <c r="F90" s="11" t="n">
        <v>0.0</v>
      </c>
      <c r="G90" s="11" t="n">
        <v>0.0</v>
      </c>
      <c r="H90" s="11" t="n">
        <v>0.0</v>
      </c>
      <c r="I90" s="11" t="n">
        <v>0.0</v>
      </c>
      <c r="J90" s="11" t="n">
        <v>0.0</v>
      </c>
      <c r="K90" s="11" t="n">
        <v>0.0</v>
      </c>
      <c r="L90" s="11" t="n">
        <v>0.0</v>
      </c>
      <c r="M90" s="11" t="n">
        <v>0.0</v>
      </c>
      <c r="N90" s="11" t="n">
        <v>0.0</v>
      </c>
      <c r="O90" s="11" t="n">
        <v>0.0</v>
      </c>
      <c r="P90" s="11" t="n">
        <v>0.0</v>
      </c>
      <c r="Q90" s="11" t="n">
        <v>0.0</v>
      </c>
      <c r="R90" s="11" t="n">
        <v>0.0</v>
      </c>
      <c r="S90" s="11" t="n">
        <v>0.0</v>
      </c>
      <c r="T90" s="11" t="n">
        <v>0.0</v>
      </c>
      <c r="U90" s="11" t="n">
        <v>0.0</v>
      </c>
      <c r="V90" s="11" t="n">
        <v>0.0</v>
      </c>
      <c r="W90" s="11" t="n">
        <v>0.0</v>
      </c>
      <c r="X90" s="11" t="n">
        <v>0.0</v>
      </c>
      <c r="Y90" s="11" t="n">
        <v>0.0</v>
      </c>
    </row>
    <row r="91">
      <c r="A91" s="7" t="inlineStr">
        <is>
          <t xml:space="preserve">                              payroll - 610101 - الرواتب وما في حكمها</t>
        </is>
      </c>
      <c r="B91" s="7" t="inlineStr">
        <is>
          <t>610101</t>
        </is>
      </c>
      <c r="C91" s="11" t="n">
        <v>450000.0</v>
      </c>
      <c r="D91" s="11" t="n">
        <v>0.0</v>
      </c>
      <c r="E91" s="11" t="n">
        <v>450000.0</v>
      </c>
      <c r="F91" s="11" t="n">
        <v>0.0</v>
      </c>
      <c r="G91" s="11" t="n">
        <v>0.0</v>
      </c>
      <c r="H91" s="11" t="n">
        <v>0.0</v>
      </c>
      <c r="I91" s="11" t="n">
        <v>0.0</v>
      </c>
      <c r="J91" s="11" t="n">
        <v>0.0</v>
      </c>
      <c r="K91" s="11" t="n">
        <v>0.0</v>
      </c>
      <c r="L91" s="11" t="n">
        <v>0.0</v>
      </c>
      <c r="M91" s="11" t="n">
        <v>0.0</v>
      </c>
      <c r="N91" s="11" t="n">
        <v>0.0</v>
      </c>
      <c r="O91" s="11" t="n">
        <v>0.0</v>
      </c>
      <c r="P91" s="11" t="n">
        <v>0.0</v>
      </c>
      <c r="Q91" s="11" t="n">
        <v>0.0</v>
      </c>
      <c r="R91" s="11" t="n">
        <v>0.0</v>
      </c>
      <c r="S91" s="11" t="n">
        <v>0.0</v>
      </c>
      <c r="T91" s="11" t="n">
        <v>0.0</v>
      </c>
      <c r="U91" s="11" t="n">
        <v>0.0</v>
      </c>
      <c r="V91" s="11" t="n">
        <v>0.0</v>
      </c>
      <c r="W91" s="11" t="n">
        <v>0.0</v>
      </c>
      <c r="X91" s="11" t="n">
        <v>0.0</v>
      </c>
      <c r="Y91" s="11" t="n">
        <v>0.0</v>
      </c>
    </row>
    <row r="92">
      <c r="A92" s="7" t="inlineStr">
        <is>
          <t xml:space="preserve">                              Medical insurance - 610104 - تامين طبي</t>
        </is>
      </c>
      <c r="B92" s="7" t="inlineStr">
        <is>
          <t>610104</t>
        </is>
      </c>
      <c r="C92" s="11" t="n">
        <v>68429.12</v>
      </c>
      <c r="D92" s="11" t="n">
        <v>0.0</v>
      </c>
      <c r="E92" s="11" t="n">
        <v>62465.89</v>
      </c>
      <c r="F92" s="11" t="n">
        <v>0.0</v>
      </c>
      <c r="G92" s="11" t="n">
        <v>0.0</v>
      </c>
      <c r="H92" s="11" t="n">
        <v>5963.23</v>
      </c>
      <c r="I92" s="11" t="n">
        <v>0.0</v>
      </c>
      <c r="J92" s="11" t="n">
        <v>0.0</v>
      </c>
      <c r="K92" s="11" t="n">
        <v>0.0</v>
      </c>
      <c r="L92" s="11" t="n">
        <v>0.0</v>
      </c>
      <c r="M92" s="11" t="n">
        <v>0.0</v>
      </c>
      <c r="N92" s="11" t="n">
        <v>0.0</v>
      </c>
      <c r="O92" s="11" t="n">
        <v>0.0</v>
      </c>
      <c r="P92" s="11" t="n">
        <v>0.0</v>
      </c>
      <c r="Q92" s="11" t="n">
        <v>0.0</v>
      </c>
      <c r="R92" s="11" t="n">
        <v>0.0</v>
      </c>
      <c r="S92" s="11" t="n">
        <v>0.0</v>
      </c>
      <c r="T92" s="11" t="n">
        <v>0.0</v>
      </c>
      <c r="U92" s="11" t="n">
        <v>0.0</v>
      </c>
      <c r="V92" s="11" t="n">
        <v>0.0</v>
      </c>
      <c r="W92" s="11" t="n">
        <v>0.0</v>
      </c>
      <c r="X92" s="11" t="n">
        <v>0.0</v>
      </c>
      <c r="Y92" s="11" t="n">
        <v>0.0</v>
      </c>
    </row>
    <row r="93">
      <c r="A93" s="7" t="inlineStr">
        <is>
          <t xml:space="preserve">                              End of service benefits - 610105 - مكافاة نهاية الخدمة</t>
        </is>
      </c>
      <c r="B93" s="7" t="inlineStr">
        <is>
          <t>610105</t>
        </is>
      </c>
      <c r="C93" s="11" t="n">
        <v>18739.75</v>
      </c>
      <c r="D93" s="11" t="n">
        <v>0.0</v>
      </c>
      <c r="E93" s="11" t="n">
        <v>18739.75</v>
      </c>
      <c r="F93" s="11" t="n">
        <v>0.0</v>
      </c>
      <c r="G93" s="11" t="n">
        <v>0.0</v>
      </c>
      <c r="H93" s="11" t="n">
        <v>0.0</v>
      </c>
      <c r="I93" s="11" t="n">
        <v>0.0</v>
      </c>
      <c r="J93" s="11" t="n">
        <v>0.0</v>
      </c>
      <c r="K93" s="11" t="n">
        <v>0.0</v>
      </c>
      <c r="L93" s="11" t="n">
        <v>0.0</v>
      </c>
      <c r="M93" s="11" t="n">
        <v>0.0</v>
      </c>
      <c r="N93" s="11" t="n">
        <v>0.0</v>
      </c>
      <c r="O93" s="11" t="n">
        <v>0.0</v>
      </c>
      <c r="P93" s="11" t="n">
        <v>0.0</v>
      </c>
      <c r="Q93" s="11" t="n">
        <v>0.0</v>
      </c>
      <c r="R93" s="11" t="n">
        <v>0.0</v>
      </c>
      <c r="S93" s="11" t="n">
        <v>0.0</v>
      </c>
      <c r="T93" s="11" t="n">
        <v>0.0</v>
      </c>
      <c r="U93" s="11" t="n">
        <v>0.0</v>
      </c>
      <c r="V93" s="11" t="n">
        <v>0.0</v>
      </c>
      <c r="W93" s="11" t="n">
        <v>0.0</v>
      </c>
      <c r="X93" s="11" t="n">
        <v>0.0</v>
      </c>
      <c r="Y93" s="11" t="n">
        <v>0.0</v>
      </c>
    </row>
    <row r="94">
      <c r="A94" s="7" t="inlineStr">
        <is>
          <t xml:space="preserve">                              Sponosrship transfer - 610201 - نقل كفالات</t>
        </is>
      </c>
      <c r="B94" s="7" t="inlineStr">
        <is>
          <t>610201</t>
        </is>
      </c>
      <c r="C94" s="11" t="n">
        <v>8000.0</v>
      </c>
      <c r="D94" s="11" t="n">
        <v>0.0</v>
      </c>
      <c r="E94" s="11" t="n">
        <v>8000.0</v>
      </c>
      <c r="F94" s="11" t="n">
        <v>0.0</v>
      </c>
      <c r="G94" s="11" t="n">
        <v>0.0</v>
      </c>
      <c r="H94" s="11" t="n">
        <v>0.0</v>
      </c>
      <c r="I94" s="11" t="n">
        <v>0.0</v>
      </c>
      <c r="J94" s="11" t="n">
        <v>0.0</v>
      </c>
      <c r="K94" s="11" t="n">
        <v>0.0</v>
      </c>
      <c r="L94" s="11" t="n">
        <v>0.0</v>
      </c>
      <c r="M94" s="11" t="n">
        <v>0.0</v>
      </c>
      <c r="N94" s="11" t="n">
        <v>0.0</v>
      </c>
      <c r="O94" s="11" t="n">
        <v>0.0</v>
      </c>
      <c r="P94" s="11" t="n">
        <v>0.0</v>
      </c>
      <c r="Q94" s="11" t="n">
        <v>0.0</v>
      </c>
      <c r="R94" s="11" t="n">
        <v>0.0</v>
      </c>
      <c r="S94" s="11" t="n">
        <v>0.0</v>
      </c>
      <c r="T94" s="11" t="n">
        <v>0.0</v>
      </c>
      <c r="U94" s="11" t="n">
        <v>0.0</v>
      </c>
      <c r="V94" s="11" t="n">
        <v>0.0</v>
      </c>
      <c r="W94" s="11" t="n">
        <v>0.0</v>
      </c>
      <c r="X94" s="11" t="n">
        <v>0.0</v>
      </c>
      <c r="Y94" s="11" t="n">
        <v>0.0</v>
      </c>
    </row>
    <row r="95">
      <c r="A95" s="7" t="inlineStr">
        <is>
          <t xml:space="preserve">                              Iqama renewal - 610202 - تجديد اقامات</t>
        </is>
      </c>
      <c r="B95" s="7" t="inlineStr">
        <is>
          <t>610202</t>
        </is>
      </c>
      <c r="C95" s="11" t="n">
        <v>704.17</v>
      </c>
      <c r="D95" s="11" t="n">
        <v>0.0</v>
      </c>
      <c r="E95" s="11" t="n">
        <v>650.0</v>
      </c>
      <c r="F95" s="11" t="n">
        <v>0.0</v>
      </c>
      <c r="G95" s="11" t="n">
        <v>0.0</v>
      </c>
      <c r="H95" s="11" t="n">
        <v>54.17</v>
      </c>
      <c r="I95" s="11" t="n">
        <v>0.0</v>
      </c>
      <c r="J95" s="11" t="n">
        <v>0.0</v>
      </c>
      <c r="K95" s="11" t="n">
        <v>0.0</v>
      </c>
      <c r="L95" s="11" t="n">
        <v>0.0</v>
      </c>
      <c r="M95" s="11" t="n">
        <v>0.0</v>
      </c>
      <c r="N95" s="11" t="n">
        <v>0.0</v>
      </c>
      <c r="O95" s="11" t="n">
        <v>0.0</v>
      </c>
      <c r="P95" s="11" t="n">
        <v>0.0</v>
      </c>
      <c r="Q95" s="11" t="n">
        <v>0.0</v>
      </c>
      <c r="R95" s="11" t="n">
        <v>0.0</v>
      </c>
      <c r="S95" s="11" t="n">
        <v>0.0</v>
      </c>
      <c r="T95" s="11" t="n">
        <v>0.0</v>
      </c>
      <c r="U95" s="11" t="n">
        <v>0.0</v>
      </c>
      <c r="V95" s="11" t="n">
        <v>0.0</v>
      </c>
      <c r="W95" s="11" t="n">
        <v>0.0</v>
      </c>
      <c r="X95" s="11" t="n">
        <v>0.0</v>
      </c>
      <c r="Y95" s="11" t="n">
        <v>0.0</v>
      </c>
    </row>
    <row r="96">
      <c r="A96" s="7" t="inlineStr">
        <is>
          <t xml:space="preserve">                              Labor office fees - 610203 - رسوم مكتب العمل والمقابل المالي</t>
        </is>
      </c>
      <c r="B96" s="7" t="inlineStr">
        <is>
          <t>610203</t>
        </is>
      </c>
      <c r="C96" s="11" t="n">
        <v>5008.34</v>
      </c>
      <c r="D96" s="11" t="n">
        <v>0.0</v>
      </c>
      <c r="E96" s="11" t="n">
        <v>4300.0</v>
      </c>
      <c r="F96" s="11" t="n">
        <v>0.0</v>
      </c>
      <c r="G96" s="11" t="n">
        <v>0.0</v>
      </c>
      <c r="H96" s="11" t="n">
        <v>708.34</v>
      </c>
      <c r="I96" s="11" t="n">
        <v>0.0</v>
      </c>
      <c r="J96" s="11" t="n">
        <v>0.0</v>
      </c>
      <c r="K96" s="11" t="n">
        <v>0.0</v>
      </c>
      <c r="L96" s="11" t="n">
        <v>0.0</v>
      </c>
      <c r="M96" s="11" t="n">
        <v>0.0</v>
      </c>
      <c r="N96" s="11" t="n">
        <v>0.0</v>
      </c>
      <c r="O96" s="11" t="n">
        <v>0.0</v>
      </c>
      <c r="P96" s="11" t="n">
        <v>0.0</v>
      </c>
      <c r="Q96" s="11" t="n">
        <v>0.0</v>
      </c>
      <c r="R96" s="11" t="n">
        <v>0.0</v>
      </c>
      <c r="S96" s="11" t="n">
        <v>0.0</v>
      </c>
      <c r="T96" s="11" t="n">
        <v>0.0</v>
      </c>
      <c r="U96" s="11" t="n">
        <v>0.0</v>
      </c>
      <c r="V96" s="11" t="n">
        <v>0.0</v>
      </c>
      <c r="W96" s="11" t="n">
        <v>0.0</v>
      </c>
      <c r="X96" s="11" t="n">
        <v>0.0</v>
      </c>
      <c r="Y96" s="11" t="n">
        <v>0.0</v>
      </c>
    </row>
    <row r="97">
      <c r="A97" s="7" t="inlineStr">
        <is>
          <t xml:space="preserve">                              Re-exit visa - 610204 - رسوم تأشيرة خروج وعودة</t>
        </is>
      </c>
      <c r="B97" s="7" t="inlineStr">
        <is>
          <t>610204</t>
        </is>
      </c>
      <c r="C97" s="11" t="n">
        <v>200.0</v>
      </c>
      <c r="D97" s="11" t="n">
        <v>0.0</v>
      </c>
      <c r="E97" s="11" t="n">
        <v>200.0</v>
      </c>
      <c r="F97" s="11" t="n">
        <v>0.0</v>
      </c>
      <c r="G97" s="11" t="n">
        <v>0.0</v>
      </c>
      <c r="H97" s="11" t="n">
        <v>0.0</v>
      </c>
      <c r="I97" s="11" t="n">
        <v>0.0</v>
      </c>
      <c r="J97" s="11" t="n">
        <v>0.0</v>
      </c>
      <c r="K97" s="11" t="n">
        <v>0.0</v>
      </c>
      <c r="L97" s="11" t="n">
        <v>0.0</v>
      </c>
      <c r="M97" s="11" t="n">
        <v>0.0</v>
      </c>
      <c r="N97" s="11" t="n">
        <v>0.0</v>
      </c>
      <c r="O97" s="11" t="n">
        <v>0.0</v>
      </c>
      <c r="P97" s="11" t="n">
        <v>0.0</v>
      </c>
      <c r="Q97" s="11" t="n">
        <v>0.0</v>
      </c>
      <c r="R97" s="11" t="n">
        <v>0.0</v>
      </c>
      <c r="S97" s="11" t="n">
        <v>0.0</v>
      </c>
      <c r="T97" s="11" t="n">
        <v>0.0</v>
      </c>
      <c r="U97" s="11" t="n">
        <v>0.0</v>
      </c>
      <c r="V97" s="11" t="n">
        <v>0.0</v>
      </c>
      <c r="W97" s="11" t="n">
        <v>0.0</v>
      </c>
      <c r="X97" s="11" t="n">
        <v>0.0</v>
      </c>
      <c r="Y97" s="11" t="n">
        <v>0.0</v>
      </c>
    </row>
    <row r="98">
      <c r="A98" s="7" t="inlineStr">
        <is>
          <t xml:space="preserve">                              Visa fees - 610305 - اصدار فيز وتأشيرات</t>
        </is>
      </c>
      <c r="B98" s="7" t="inlineStr">
        <is>
          <t>610305</t>
        </is>
      </c>
      <c r="C98" s="11" t="n">
        <v>6636.4</v>
      </c>
      <c r="D98" s="11" t="n">
        <v>0.0</v>
      </c>
      <c r="E98" s="11" t="n">
        <v>6636.4</v>
      </c>
      <c r="F98" s="11" t="n">
        <v>0.0</v>
      </c>
      <c r="G98" s="11" t="n">
        <v>0.0</v>
      </c>
      <c r="H98" s="11" t="n">
        <v>0.0</v>
      </c>
      <c r="I98" s="11" t="n">
        <v>0.0</v>
      </c>
      <c r="J98" s="11" t="n">
        <v>0.0</v>
      </c>
      <c r="K98" s="11" t="n">
        <v>0.0</v>
      </c>
      <c r="L98" s="11" t="n">
        <v>0.0</v>
      </c>
      <c r="M98" s="11" t="n">
        <v>0.0</v>
      </c>
      <c r="N98" s="11" t="n">
        <v>0.0</v>
      </c>
      <c r="O98" s="11" t="n">
        <v>0.0</v>
      </c>
      <c r="P98" s="11" t="n">
        <v>0.0</v>
      </c>
      <c r="Q98" s="11" t="n">
        <v>0.0</v>
      </c>
      <c r="R98" s="11" t="n">
        <v>0.0</v>
      </c>
      <c r="S98" s="11" t="n">
        <v>0.0</v>
      </c>
      <c r="T98" s="11" t="n">
        <v>0.0</v>
      </c>
      <c r="U98" s="11" t="n">
        <v>0.0</v>
      </c>
      <c r="V98" s="11" t="n">
        <v>0.0</v>
      </c>
      <c r="W98" s="11" t="n">
        <v>0.0</v>
      </c>
      <c r="X98" s="11" t="n">
        <v>0.0</v>
      </c>
      <c r="Y98" s="11" t="n">
        <v>0.0</v>
      </c>
    </row>
    <row r="99">
      <c r="A99" s="7" t="inlineStr">
        <is>
          <t xml:space="preserve">                              Empoyees bonus - 630203 - مكافاة موظفين</t>
        </is>
      </c>
      <c r="B99" s="7" t="inlineStr">
        <is>
          <t>630203</t>
        </is>
      </c>
      <c r="C99" s="11" t="n">
        <v>20200.0</v>
      </c>
      <c r="D99" s="11" t="n">
        <v>0.0</v>
      </c>
      <c r="E99" s="11" t="n">
        <v>20200.0</v>
      </c>
      <c r="F99" s="11" t="n">
        <v>0.0</v>
      </c>
      <c r="G99" s="11" t="n">
        <v>0.0</v>
      </c>
      <c r="H99" s="11" t="n">
        <v>0.0</v>
      </c>
      <c r="I99" s="11" t="n">
        <v>0.0</v>
      </c>
      <c r="J99" s="11" t="n">
        <v>0.0</v>
      </c>
      <c r="K99" s="11" t="n">
        <v>0.0</v>
      </c>
      <c r="L99" s="11" t="n">
        <v>0.0</v>
      </c>
      <c r="M99" s="11" t="n">
        <v>0.0</v>
      </c>
      <c r="N99" s="11" t="n">
        <v>0.0</v>
      </c>
      <c r="O99" s="11" t="n">
        <v>0.0</v>
      </c>
      <c r="P99" s="11" t="n">
        <v>0.0</v>
      </c>
      <c r="Q99" s="11" t="n">
        <v>0.0</v>
      </c>
      <c r="R99" s="11" t="n">
        <v>0.0</v>
      </c>
      <c r="S99" s="11" t="n">
        <v>0.0</v>
      </c>
      <c r="T99" s="11" t="n">
        <v>0.0</v>
      </c>
      <c r="U99" s="11" t="n">
        <v>0.0</v>
      </c>
      <c r="V99" s="11" t="n">
        <v>0.0</v>
      </c>
      <c r="W99" s="11" t="n">
        <v>0.0</v>
      </c>
      <c r="X99" s="11" t="n">
        <v>0.0</v>
      </c>
      <c r="Y99" s="11" t="n">
        <v>0.0</v>
      </c>
    </row>
    <row r="100">
      <c r="A100" s="26" t="inlineStr">
        <is>
          <t xml:space="preserve">                    Total for Payroll and Payroll Related - 61 - الرواتب الادارية وملحقاتها</t>
        </is>
      </c>
      <c r="B100" t="inlineStr">
        <is>
          <t>61</t>
        </is>
      </c>
      <c r="C100" s="5" t="n">
        <f>(+(C90)+(C91)+(C92)+(C93)+(C94)+(C95)+(C96)+(C97)+(C98)+(C99))</f>
        <v>0.0</v>
      </c>
      <c r="D100" s="5" t="n">
        <f>(+(D90)+(D91)+(D92)+(D93)+(D94)+(D95)+(D96)+(D97)+(D98)+(D99))</f>
        <v>0.0</v>
      </c>
      <c r="E100" s="5" t="n">
        <f>(+(E90)+(E91)+(E92)+(E93)+(E94)+(E95)+(E96)+(E97)+(E98)+(E99))</f>
        <v>0.0</v>
      </c>
      <c r="F100" s="5" t="n">
        <f>(+(F90)+(F91)+(F92)+(F93)+(F94)+(F95)+(F96)+(F97)+(F98)+(F99))</f>
        <v>0.0</v>
      </c>
      <c r="G100" s="5" t="n">
        <f>(+(G90)+(G91)+(G92)+(G93)+(G94)+(G95)+(G96)+(G97)+(G98)+(G99))</f>
        <v>0.0</v>
      </c>
      <c r="H100" s="5" t="n">
        <f>(+(H90)+(H91)+(H92)+(H93)+(H94)+(H95)+(H96)+(H97)+(H98)+(H99))</f>
        <v>0.0</v>
      </c>
      <c r="I100" s="5" t="n">
        <f>(+(I90)+(I91)+(I92)+(I93)+(I94)+(I95)+(I96)+(I97)+(I98)+(I99))</f>
        <v>0.0</v>
      </c>
      <c r="J100" s="5" t="n">
        <f>(+(J90)+(J91)+(J92)+(J93)+(J94)+(J95)+(J96)+(J97)+(J98)+(J99))</f>
        <v>0.0</v>
      </c>
      <c r="K100" s="5" t="n">
        <f>(+(K90)+(K91)+(K92)+(K93)+(K94)+(K95)+(K96)+(K97)+(K98)+(K99))</f>
        <v>0.0</v>
      </c>
      <c r="L100" s="5" t="n">
        <f>(+(L90)+(L91)+(L92)+(L93)+(L94)+(L95)+(L96)+(L97)+(L98)+(L99))</f>
        <v>0.0</v>
      </c>
      <c r="M100" s="5" t="n">
        <f>(+(M90)+(M91)+(M92)+(M93)+(M94)+(M95)+(M96)+(M97)+(M98)+(M99))</f>
        <v>0.0</v>
      </c>
      <c r="N100" s="5" t="n">
        <f>(+(N90)+(N91)+(N92)+(N93)+(N94)+(N95)+(N96)+(N97)+(N98)+(N99))</f>
        <v>0.0</v>
      </c>
      <c r="O100" s="5" t="n">
        <f>(+(O90)+(O91)+(O92)+(O93)+(O94)+(O95)+(O96)+(O97)+(O98)+(O99))</f>
        <v>0.0</v>
      </c>
      <c r="P100" s="5" t="n">
        <f>(+(P90)+(P91)+(P92)+(P93)+(P94)+(P95)+(P96)+(P97)+(P98)+(P99))</f>
        <v>0.0</v>
      </c>
      <c r="Q100" s="5" t="n">
        <f>(+(Q90)+(Q91)+(Q92)+(Q93)+(Q94)+(Q95)+(Q96)+(Q97)+(Q98)+(Q99))</f>
        <v>0.0</v>
      </c>
      <c r="R100" s="5" t="n">
        <f>(+(R90)+(R91)+(R92)+(R93)+(R94)+(R95)+(R96)+(R97)+(R98)+(R99))</f>
        <v>0.0</v>
      </c>
      <c r="S100" s="5" t="n">
        <f>(+(S90)+(S91)+(S92)+(S93)+(S94)+(S95)+(S96)+(S97)+(S98)+(S99))</f>
        <v>0.0</v>
      </c>
      <c r="T100" s="5" t="n">
        <f>(+(T90)+(T91)+(T92)+(T93)+(T94)+(T95)+(T96)+(T97)+(T98)+(T99))</f>
        <v>0.0</v>
      </c>
      <c r="U100" s="5" t="n">
        <f>(+(U90)+(U91)+(U92)+(U93)+(U94)+(U95)+(U96)+(U97)+(U98)+(U99))</f>
        <v>0.0</v>
      </c>
      <c r="V100" s="5" t="n">
        <f>(+(V90)+(V91)+(V92)+(V93)+(V94)+(V95)+(V96)+(V97)+(V98)+(V99))</f>
        <v>0.0</v>
      </c>
      <c r="W100" s="5" t="n">
        <f>(+(W90)+(W91)+(W92)+(W93)+(W94)+(W95)+(W96)+(W97)+(W98)+(W99))</f>
        <v>0.0</v>
      </c>
      <c r="X100" s="5" t="n">
        <f>(+(X90)+(X91)+(X92)+(X93)+(X94)+(X95)+(X96)+(X97)+(X98)+(X99))</f>
        <v>0.0</v>
      </c>
      <c r="Y100" s="5" t="n">
        <f>(+(Y90)+(Y91)+(Y92)+(Y93)+(Y94)+(Y95)+(Y96)+(Y97)+(Y98)+(Y99))</f>
        <v>0.0</v>
      </c>
    </row>
    <row r="102">
      <c r="A102" s="7" t="inlineStr">
        <is>
          <t xml:space="preserve">                    G &amp; A Expenses- 62 - مصاريف ادارية وعمومية</t>
        </is>
      </c>
      <c r="B102" s="7" t="inlineStr">
        <is>
          <t>62</t>
        </is>
      </c>
      <c r="C102" s="11" t="n">
        <v>0.0</v>
      </c>
      <c r="D102" s="11" t="n">
        <v>0.0</v>
      </c>
      <c r="E102" s="11" t="n">
        <v>0.0</v>
      </c>
      <c r="F102" s="11" t="n">
        <v>0.0</v>
      </c>
      <c r="G102" s="11" t="n">
        <v>0.0</v>
      </c>
      <c r="H102" s="11" t="n">
        <v>0.0</v>
      </c>
      <c r="I102" s="11" t="n">
        <v>0.0</v>
      </c>
      <c r="J102" s="11" t="n">
        <v>0.0</v>
      </c>
      <c r="K102" s="11" t="n">
        <v>0.0</v>
      </c>
      <c r="L102" s="11" t="n">
        <v>0.0</v>
      </c>
      <c r="M102" s="11" t="n">
        <v>0.0</v>
      </c>
      <c r="N102" s="11" t="n">
        <v>0.0</v>
      </c>
      <c r="O102" s="11" t="n">
        <v>0.0</v>
      </c>
      <c r="P102" s="11" t="n">
        <v>0.0</v>
      </c>
      <c r="Q102" s="11" t="n">
        <v>0.0</v>
      </c>
      <c r="R102" s="11" t="n">
        <v>0.0</v>
      </c>
      <c r="S102" s="11" t="n">
        <v>0.0</v>
      </c>
      <c r="T102" s="11" t="n">
        <v>0.0</v>
      </c>
      <c r="U102" s="11" t="n">
        <v>0.0</v>
      </c>
      <c r="V102" s="11" t="n">
        <v>0.0</v>
      </c>
      <c r="W102" s="11" t="n">
        <v>0.0</v>
      </c>
      <c r="X102" s="11" t="n">
        <v>0.0</v>
      </c>
      <c r="Y102" s="11" t="n">
        <v>0.0</v>
      </c>
    </row>
    <row r="103">
      <c r="A103" s="7" t="inlineStr">
        <is>
          <t xml:space="preserve">                              Licence fees - 610301 - رسوم سجلات ورخص</t>
        </is>
      </c>
      <c r="B103" s="7" t="inlineStr">
        <is>
          <t>610301</t>
        </is>
      </c>
      <c r="C103" s="11" t="n">
        <v>5986.71</v>
      </c>
      <c r="D103" s="11" t="n">
        <v>0.0</v>
      </c>
      <c r="E103" s="11" t="n">
        <v>5986.71</v>
      </c>
      <c r="F103" s="11" t="n">
        <v>0.0</v>
      </c>
      <c r="G103" s="11" t="n">
        <v>0.0</v>
      </c>
      <c r="H103" s="11" t="n">
        <v>0.0</v>
      </c>
      <c r="I103" s="11" t="n">
        <v>0.0</v>
      </c>
      <c r="J103" s="11" t="n">
        <v>0.0</v>
      </c>
      <c r="K103" s="11" t="n">
        <v>0.0</v>
      </c>
      <c r="L103" s="11" t="n">
        <v>0.0</v>
      </c>
      <c r="M103" s="11" t="n">
        <v>0.0</v>
      </c>
      <c r="N103" s="11" t="n">
        <v>0.0</v>
      </c>
      <c r="O103" s="11" t="n">
        <v>0.0</v>
      </c>
      <c r="P103" s="11" t="n">
        <v>0.0</v>
      </c>
      <c r="Q103" s="11" t="n">
        <v>0.0</v>
      </c>
      <c r="R103" s="11" t="n">
        <v>0.0</v>
      </c>
      <c r="S103" s="11" t="n">
        <v>0.0</v>
      </c>
      <c r="T103" s="11" t="n">
        <v>0.0</v>
      </c>
      <c r="U103" s="11" t="n">
        <v>0.0</v>
      </c>
      <c r="V103" s="11" t="n">
        <v>0.0</v>
      </c>
      <c r="W103" s="11" t="n">
        <v>0.0</v>
      </c>
      <c r="X103" s="11" t="n">
        <v>0.0</v>
      </c>
      <c r="Y103" s="11" t="n">
        <v>0.0</v>
      </c>
    </row>
    <row r="104">
      <c r="A104" s="7" t="inlineStr">
        <is>
          <t xml:space="preserve">                              Chamber of Commerce attestation fee - 610302 - تصاديق غرفة تجارية</t>
        </is>
      </c>
      <c r="B104" s="7" t="inlineStr">
        <is>
          <t>610302</t>
        </is>
      </c>
      <c r="C104" s="11" t="n">
        <v>250.0</v>
      </c>
      <c r="D104" s="11" t="n">
        <v>0.0</v>
      </c>
      <c r="E104" s="11" t="n">
        <v>250.0</v>
      </c>
      <c r="F104" s="11" t="n">
        <v>0.0</v>
      </c>
      <c r="G104" s="11" t="n">
        <v>0.0</v>
      </c>
      <c r="H104" s="11" t="n">
        <v>0.0</v>
      </c>
      <c r="I104" s="11" t="n">
        <v>0.0</v>
      </c>
      <c r="J104" s="11" t="n">
        <v>0.0</v>
      </c>
      <c r="K104" s="11" t="n">
        <v>0.0</v>
      </c>
      <c r="L104" s="11" t="n">
        <v>0.0</v>
      </c>
      <c r="M104" s="11" t="n">
        <v>0.0</v>
      </c>
      <c r="N104" s="11" t="n">
        <v>0.0</v>
      </c>
      <c r="O104" s="11" t="n">
        <v>0.0</v>
      </c>
      <c r="P104" s="11" t="n">
        <v>0.0</v>
      </c>
      <c r="Q104" s="11" t="n">
        <v>0.0</v>
      </c>
      <c r="R104" s="11" t="n">
        <v>0.0</v>
      </c>
      <c r="S104" s="11" t="n">
        <v>0.0</v>
      </c>
      <c r="T104" s="11" t="n">
        <v>0.0</v>
      </c>
      <c r="U104" s="11" t="n">
        <v>0.0</v>
      </c>
      <c r="V104" s="11" t="n">
        <v>0.0</v>
      </c>
      <c r="W104" s="11" t="n">
        <v>0.0</v>
      </c>
      <c r="X104" s="11" t="n">
        <v>0.0</v>
      </c>
      <c r="Y104" s="11" t="n">
        <v>0.0</v>
      </c>
    </row>
    <row r="105">
      <c r="A105" s="7" t="inlineStr">
        <is>
          <t xml:space="preserve">                              Other government fees - 610306 - رسوم حكومية أخرى</t>
        </is>
      </c>
      <c r="B105" s="7" t="inlineStr">
        <is>
          <t>610306</t>
        </is>
      </c>
      <c r="C105" s="11" t="n">
        <v>2440.76</v>
      </c>
      <c r="D105" s="11" t="n">
        <v>0.0</v>
      </c>
      <c r="E105" s="11" t="n">
        <v>2440.76</v>
      </c>
      <c r="F105" s="11" t="n">
        <v>0.0</v>
      </c>
      <c r="G105" s="11" t="n">
        <v>0.0</v>
      </c>
      <c r="H105" s="11" t="n">
        <v>0.0</v>
      </c>
      <c r="I105" s="11" t="n">
        <v>0.0</v>
      </c>
      <c r="J105" s="11" t="n">
        <v>0.0</v>
      </c>
      <c r="K105" s="11" t="n">
        <v>0.0</v>
      </c>
      <c r="L105" s="11" t="n">
        <v>0.0</v>
      </c>
      <c r="M105" s="11" t="n">
        <v>0.0</v>
      </c>
      <c r="N105" s="11" t="n">
        <v>0.0</v>
      </c>
      <c r="O105" s="11" t="n">
        <v>0.0</v>
      </c>
      <c r="P105" s="11" t="n">
        <v>0.0</v>
      </c>
      <c r="Q105" s="11" t="n">
        <v>0.0</v>
      </c>
      <c r="R105" s="11" t="n">
        <v>0.0</v>
      </c>
      <c r="S105" s="11" t="n">
        <v>0.0</v>
      </c>
      <c r="T105" s="11" t="n">
        <v>0.0</v>
      </c>
      <c r="U105" s="11" t="n">
        <v>0.0</v>
      </c>
      <c r="V105" s="11" t="n">
        <v>0.0</v>
      </c>
      <c r="W105" s="11" t="n">
        <v>0.0</v>
      </c>
      <c r="X105" s="11" t="n">
        <v>0.0</v>
      </c>
      <c r="Y105" s="11" t="n">
        <v>0.0</v>
      </c>
    </row>
    <row r="106">
      <c r="A106" s="7" t="inlineStr">
        <is>
          <t xml:space="preserve">                              Consultants fees - 620101 - اتعاب مستشارين</t>
        </is>
      </c>
      <c r="B106" s="7" t="inlineStr">
        <is>
          <t>620101</t>
        </is>
      </c>
      <c r="C106" s="11" t="n">
        <v>30300.0</v>
      </c>
      <c r="D106" s="11" t="n">
        <v>0.0</v>
      </c>
      <c r="E106" s="11" t="n">
        <v>30300.0</v>
      </c>
      <c r="F106" s="11" t="n">
        <v>0.0</v>
      </c>
      <c r="G106" s="11" t="n">
        <v>0.0</v>
      </c>
      <c r="H106" s="11" t="n">
        <v>0.0</v>
      </c>
      <c r="I106" s="11" t="n">
        <v>0.0</v>
      </c>
      <c r="J106" s="11" t="n">
        <v>0.0</v>
      </c>
      <c r="K106" s="11" t="n">
        <v>0.0</v>
      </c>
      <c r="L106" s="11" t="n">
        <v>0.0</v>
      </c>
      <c r="M106" s="11" t="n">
        <v>0.0</v>
      </c>
      <c r="N106" s="11" t="n">
        <v>0.0</v>
      </c>
      <c r="O106" s="11" t="n">
        <v>0.0</v>
      </c>
      <c r="P106" s="11" t="n">
        <v>0.0</v>
      </c>
      <c r="Q106" s="11" t="n">
        <v>0.0</v>
      </c>
      <c r="R106" s="11" t="n">
        <v>0.0</v>
      </c>
      <c r="S106" s="11" t="n">
        <v>0.0</v>
      </c>
      <c r="T106" s="11" t="n">
        <v>0.0</v>
      </c>
      <c r="U106" s="11" t="n">
        <v>0.0</v>
      </c>
      <c r="V106" s="11" t="n">
        <v>0.0</v>
      </c>
      <c r="W106" s="11" t="n">
        <v>0.0</v>
      </c>
      <c r="X106" s="11" t="n">
        <v>0.0</v>
      </c>
      <c r="Y106" s="11" t="n">
        <v>0.0</v>
      </c>
    </row>
    <row r="107">
      <c r="A107" s="7" t="inlineStr">
        <is>
          <t xml:space="preserve">                              Co-operators fees - 620103 - اتعاب متعاوني مشاريع</t>
        </is>
      </c>
      <c r="B107" s="7" t="inlineStr">
        <is>
          <t>620103</t>
        </is>
      </c>
      <c r="C107" s="11" t="n">
        <v>165965.0</v>
      </c>
      <c r="D107" s="11" t="n">
        <v>12300.0</v>
      </c>
      <c r="E107" s="11" t="n">
        <v>153665.0</v>
      </c>
      <c r="F107" s="11" t="n">
        <v>0.0</v>
      </c>
      <c r="G107" s="11" t="n">
        <v>0.0</v>
      </c>
      <c r="H107" s="11" t="n">
        <v>0.0</v>
      </c>
      <c r="I107" s="11" t="n">
        <v>0.0</v>
      </c>
      <c r="J107" s="11" t="n">
        <v>0.0</v>
      </c>
      <c r="K107" s="11" t="n">
        <v>0.0</v>
      </c>
      <c r="L107" s="11" t="n">
        <v>0.0</v>
      </c>
      <c r="M107" s="11" t="n">
        <v>0.0</v>
      </c>
      <c r="N107" s="11" t="n">
        <v>0.0</v>
      </c>
      <c r="O107" s="11" t="n">
        <v>0.0</v>
      </c>
      <c r="P107" s="11" t="n">
        <v>0.0</v>
      </c>
      <c r="Q107" s="11" t="n">
        <v>0.0</v>
      </c>
      <c r="R107" s="11" t="n">
        <v>0.0</v>
      </c>
      <c r="S107" s="11" t="n">
        <v>0.0</v>
      </c>
      <c r="T107" s="11" t="n">
        <v>0.0</v>
      </c>
      <c r="U107" s="11" t="n">
        <v>0.0</v>
      </c>
      <c r="V107" s="11" t="n">
        <v>0.0</v>
      </c>
      <c r="W107" s="11" t="n">
        <v>0.0</v>
      </c>
      <c r="X107" s="11" t="n">
        <v>0.0</v>
      </c>
      <c r="Y107" s="11" t="n">
        <v>0.0</v>
      </c>
    </row>
    <row r="108">
      <c r="A108" s="7" t="inlineStr">
        <is>
          <t xml:space="preserve">                              Logistic &amp; transportation fees - 620105 - اتعاب لوجستية ونقل</t>
        </is>
      </c>
      <c r="B108" s="7" t="inlineStr">
        <is>
          <t>620105</t>
        </is>
      </c>
      <c r="C108" s="11" t="n">
        <v>3889.84</v>
      </c>
      <c r="D108" s="11" t="n">
        <v>0.0</v>
      </c>
      <c r="E108" s="11" t="n">
        <v>3889.84</v>
      </c>
      <c r="F108" s="11" t="n">
        <v>0.0</v>
      </c>
      <c r="G108" s="11" t="n">
        <v>0.0</v>
      </c>
      <c r="H108" s="11" t="n">
        <v>0.0</v>
      </c>
      <c r="I108" s="11" t="n">
        <v>0.0</v>
      </c>
      <c r="J108" s="11" t="n">
        <v>0.0</v>
      </c>
      <c r="K108" s="11" t="n">
        <v>0.0</v>
      </c>
      <c r="L108" s="11" t="n">
        <v>0.0</v>
      </c>
      <c r="M108" s="11" t="n">
        <v>0.0</v>
      </c>
      <c r="N108" s="11" t="n">
        <v>0.0</v>
      </c>
      <c r="O108" s="11" t="n">
        <v>0.0</v>
      </c>
      <c r="P108" s="11" t="n">
        <v>0.0</v>
      </c>
      <c r="Q108" s="11" t="n">
        <v>0.0</v>
      </c>
      <c r="R108" s="11" t="n">
        <v>0.0</v>
      </c>
      <c r="S108" s="11" t="n">
        <v>0.0</v>
      </c>
      <c r="T108" s="11" t="n">
        <v>0.0</v>
      </c>
      <c r="U108" s="11" t="n">
        <v>0.0</v>
      </c>
      <c r="V108" s="11" t="n">
        <v>0.0</v>
      </c>
      <c r="W108" s="11" t="n">
        <v>0.0</v>
      </c>
      <c r="X108" s="11" t="n">
        <v>0.0</v>
      </c>
      <c r="Y108" s="11" t="n">
        <v>0.0</v>
      </c>
    </row>
    <row r="109">
      <c r="A109" s="7" t="inlineStr">
        <is>
          <t xml:space="preserve">                              Production fees - 620110 - اتعاب انتاج</t>
        </is>
      </c>
      <c r="B109" s="7" t="inlineStr">
        <is>
          <t>620110</t>
        </is>
      </c>
      <c r="C109" s="11" t="n">
        <v>4800.0</v>
      </c>
      <c r="D109" s="11" t="n">
        <v>0.0</v>
      </c>
      <c r="E109" s="11" t="n">
        <v>4800.0</v>
      </c>
      <c r="F109" s="11" t="n">
        <v>0.0</v>
      </c>
      <c r="G109" s="11" t="n">
        <v>0.0</v>
      </c>
      <c r="H109" s="11" t="n">
        <v>0.0</v>
      </c>
      <c r="I109" s="11" t="n">
        <v>0.0</v>
      </c>
      <c r="J109" s="11" t="n">
        <v>0.0</v>
      </c>
      <c r="K109" s="11" t="n">
        <v>0.0</v>
      </c>
      <c r="L109" s="11" t="n">
        <v>0.0</v>
      </c>
      <c r="M109" s="11" t="n">
        <v>0.0</v>
      </c>
      <c r="N109" s="11" t="n">
        <v>0.0</v>
      </c>
      <c r="O109" s="11" t="n">
        <v>0.0</v>
      </c>
      <c r="P109" s="11" t="n">
        <v>0.0</v>
      </c>
      <c r="Q109" s="11" t="n">
        <v>0.0</v>
      </c>
      <c r="R109" s="11" t="n">
        <v>0.0</v>
      </c>
      <c r="S109" s="11" t="n">
        <v>0.0</v>
      </c>
      <c r="T109" s="11" t="n">
        <v>0.0</v>
      </c>
      <c r="U109" s="11" t="n">
        <v>0.0</v>
      </c>
      <c r="V109" s="11" t="n">
        <v>0.0</v>
      </c>
      <c r="W109" s="11" t="n">
        <v>0.0</v>
      </c>
      <c r="X109" s="11" t="n">
        <v>0.0</v>
      </c>
      <c r="Y109" s="11" t="n">
        <v>0.0</v>
      </c>
    </row>
    <row r="110">
      <c r="A110" s="7" t="inlineStr">
        <is>
          <t xml:space="preserve">                              Employee perdeim - 620201 - انتدابات موظفين</t>
        </is>
      </c>
      <c r="B110" s="7" t="inlineStr">
        <is>
          <t>620201</t>
        </is>
      </c>
      <c r="C110" s="11" t="n">
        <v>6200.0</v>
      </c>
      <c r="D110" s="11" t="n">
        <v>0.0</v>
      </c>
      <c r="E110" s="11" t="n">
        <v>6200.0</v>
      </c>
      <c r="F110" s="11" t="n">
        <v>0.0</v>
      </c>
      <c r="G110" s="11" t="n">
        <v>0.0</v>
      </c>
      <c r="H110" s="11" t="n">
        <v>0.0</v>
      </c>
      <c r="I110" s="11" t="n">
        <v>0.0</v>
      </c>
      <c r="J110" s="11" t="n">
        <v>0.0</v>
      </c>
      <c r="K110" s="11" t="n">
        <v>0.0</v>
      </c>
      <c r="L110" s="11" t="n">
        <v>0.0</v>
      </c>
      <c r="M110" s="11" t="n">
        <v>0.0</v>
      </c>
      <c r="N110" s="11" t="n">
        <v>0.0</v>
      </c>
      <c r="O110" s="11" t="n">
        <v>0.0</v>
      </c>
      <c r="P110" s="11" t="n">
        <v>0.0</v>
      </c>
      <c r="Q110" s="11" t="n">
        <v>0.0</v>
      </c>
      <c r="R110" s="11" t="n">
        <v>0.0</v>
      </c>
      <c r="S110" s="11" t="n">
        <v>0.0</v>
      </c>
      <c r="T110" s="11" t="n">
        <v>0.0</v>
      </c>
      <c r="U110" s="11" t="n">
        <v>0.0</v>
      </c>
      <c r="V110" s="11" t="n">
        <v>0.0</v>
      </c>
      <c r="W110" s="11" t="n">
        <v>0.0</v>
      </c>
      <c r="X110" s="11" t="n">
        <v>0.0</v>
      </c>
      <c r="Y110" s="11" t="n">
        <v>0.0</v>
      </c>
    </row>
    <row r="111">
      <c r="A111" s="7" t="inlineStr">
        <is>
          <t xml:space="preserve">                              Co-operators perdiem - 620202 - انتدابات متعاونين</t>
        </is>
      </c>
      <c r="B111" s="7" t="inlineStr">
        <is>
          <t>620202</t>
        </is>
      </c>
      <c r="C111" s="11" t="n">
        <v>17500.0</v>
      </c>
      <c r="D111" s="11" t="n">
        <v>0.0</v>
      </c>
      <c r="E111" s="11" t="n">
        <v>12250.0</v>
      </c>
      <c r="F111" s="11" t="n">
        <v>0.0</v>
      </c>
      <c r="G111" s="11" t="n">
        <v>0.0</v>
      </c>
      <c r="H111" s="11" t="n">
        <v>5250.0</v>
      </c>
      <c r="I111" s="11" t="n">
        <v>0.0</v>
      </c>
      <c r="J111" s="11" t="n">
        <v>0.0</v>
      </c>
      <c r="K111" s="11" t="n">
        <v>0.0</v>
      </c>
      <c r="L111" s="11" t="n">
        <v>0.0</v>
      </c>
      <c r="M111" s="11" t="n">
        <v>0.0</v>
      </c>
      <c r="N111" s="11" t="n">
        <v>0.0</v>
      </c>
      <c r="O111" s="11" t="n">
        <v>0.0</v>
      </c>
      <c r="P111" s="11" t="n">
        <v>0.0</v>
      </c>
      <c r="Q111" s="11" t="n">
        <v>0.0</v>
      </c>
      <c r="R111" s="11" t="n">
        <v>0.0</v>
      </c>
      <c r="S111" s="11" t="n">
        <v>0.0</v>
      </c>
      <c r="T111" s="11" t="n">
        <v>0.0</v>
      </c>
      <c r="U111" s="11" t="n">
        <v>0.0</v>
      </c>
      <c r="V111" s="11" t="n">
        <v>0.0</v>
      </c>
      <c r="W111" s="11" t="n">
        <v>0.0</v>
      </c>
      <c r="X111" s="11" t="n">
        <v>0.0</v>
      </c>
      <c r="Y111" s="11" t="n">
        <v>0.0</v>
      </c>
    </row>
    <row r="112">
      <c r="A112" s="7" t="inlineStr">
        <is>
          <t xml:space="preserve">                              Employee tickets - 620301 - تذاكر موظفين</t>
        </is>
      </c>
      <c r="B112" s="7" t="inlineStr">
        <is>
          <t>620301</t>
        </is>
      </c>
      <c r="C112" s="11" t="n">
        <v>13074.88</v>
      </c>
      <c r="D112" s="11" t="n">
        <v>0.0</v>
      </c>
      <c r="E112" s="11" t="n">
        <v>13074.88</v>
      </c>
      <c r="F112" s="11" t="n">
        <v>0.0</v>
      </c>
      <c r="G112" s="11" t="n">
        <v>0.0</v>
      </c>
      <c r="H112" s="11" t="n">
        <v>0.0</v>
      </c>
      <c r="I112" s="11" t="n">
        <v>0.0</v>
      </c>
      <c r="J112" s="11" t="n">
        <v>0.0</v>
      </c>
      <c r="K112" s="11" t="n">
        <v>0.0</v>
      </c>
      <c r="L112" s="11" t="n">
        <v>0.0</v>
      </c>
      <c r="M112" s="11" t="n">
        <v>0.0</v>
      </c>
      <c r="N112" s="11" t="n">
        <v>0.0</v>
      </c>
      <c r="O112" s="11" t="n">
        <v>0.0</v>
      </c>
      <c r="P112" s="11" t="n">
        <v>0.0</v>
      </c>
      <c r="Q112" s="11" t="n">
        <v>0.0</v>
      </c>
      <c r="R112" s="11" t="n">
        <v>0.0</v>
      </c>
      <c r="S112" s="11" t="n">
        <v>0.0</v>
      </c>
      <c r="T112" s="11" t="n">
        <v>0.0</v>
      </c>
      <c r="U112" s="11" t="n">
        <v>0.0</v>
      </c>
      <c r="V112" s="11" t="n">
        <v>0.0</v>
      </c>
      <c r="W112" s="11" t="n">
        <v>0.0</v>
      </c>
      <c r="X112" s="11" t="n">
        <v>0.0</v>
      </c>
      <c r="Y112" s="11" t="n">
        <v>0.0</v>
      </c>
    </row>
    <row r="113">
      <c r="A113" s="7" t="inlineStr">
        <is>
          <t xml:space="preserve">                              Co-operators tickets - 620302 - تذاكر متعاونين</t>
        </is>
      </c>
      <c r="B113" s="7" t="inlineStr">
        <is>
          <t>620302</t>
        </is>
      </c>
      <c r="C113" s="11" t="n">
        <v>7204.75</v>
      </c>
      <c r="D113" s="11" t="n">
        <v>0.0</v>
      </c>
      <c r="E113" s="11" t="n">
        <v>4849.65</v>
      </c>
      <c r="F113" s="11" t="n">
        <v>0.0</v>
      </c>
      <c r="G113" s="11" t="n">
        <v>0.0</v>
      </c>
      <c r="H113" s="11" t="n">
        <v>2355.1</v>
      </c>
      <c r="I113" s="11" t="n">
        <v>0.0</v>
      </c>
      <c r="J113" s="11" t="n">
        <v>0.0</v>
      </c>
      <c r="K113" s="11" t="n">
        <v>0.0</v>
      </c>
      <c r="L113" s="11" t="n">
        <v>0.0</v>
      </c>
      <c r="M113" s="11" t="n">
        <v>0.0</v>
      </c>
      <c r="N113" s="11" t="n">
        <v>0.0</v>
      </c>
      <c r="O113" s="11" t="n">
        <v>0.0</v>
      </c>
      <c r="P113" s="11" t="n">
        <v>0.0</v>
      </c>
      <c r="Q113" s="11" t="n">
        <v>0.0</v>
      </c>
      <c r="R113" s="11" t="n">
        <v>0.0</v>
      </c>
      <c r="S113" s="11" t="n">
        <v>0.0</v>
      </c>
      <c r="T113" s="11" t="n">
        <v>0.0</v>
      </c>
      <c r="U113" s="11" t="n">
        <v>0.0</v>
      </c>
      <c r="V113" s="11" t="n">
        <v>0.0</v>
      </c>
      <c r="W113" s="11" t="n">
        <v>0.0</v>
      </c>
      <c r="X113" s="11" t="n">
        <v>0.0</v>
      </c>
      <c r="Y113" s="11" t="n">
        <v>0.0</v>
      </c>
    </row>
    <row r="114">
      <c r="A114" s="7" t="inlineStr">
        <is>
          <t xml:space="preserve">                              Emplyee transportation - 620401 - مواصلات موظفين</t>
        </is>
      </c>
      <c r="B114" s="7" t="inlineStr">
        <is>
          <t>620401</t>
        </is>
      </c>
      <c r="C114" s="11" t="n">
        <v>200.0</v>
      </c>
      <c r="D114" s="11" t="n">
        <v>0.0</v>
      </c>
      <c r="E114" s="11" t="n">
        <v>200.0</v>
      </c>
      <c r="F114" s="11" t="n">
        <v>0.0</v>
      </c>
      <c r="G114" s="11" t="n">
        <v>0.0</v>
      </c>
      <c r="H114" s="11" t="n">
        <v>0.0</v>
      </c>
      <c r="I114" s="11" t="n">
        <v>0.0</v>
      </c>
      <c r="J114" s="11" t="n">
        <v>0.0</v>
      </c>
      <c r="K114" s="11" t="n">
        <v>0.0</v>
      </c>
      <c r="L114" s="11" t="n">
        <v>0.0</v>
      </c>
      <c r="M114" s="11" t="n">
        <v>0.0</v>
      </c>
      <c r="N114" s="11" t="n">
        <v>0.0</v>
      </c>
      <c r="O114" s="11" t="n">
        <v>0.0</v>
      </c>
      <c r="P114" s="11" t="n">
        <v>0.0</v>
      </c>
      <c r="Q114" s="11" t="n">
        <v>0.0</v>
      </c>
      <c r="R114" s="11" t="n">
        <v>0.0</v>
      </c>
      <c r="S114" s="11" t="n">
        <v>0.0</v>
      </c>
      <c r="T114" s="11" t="n">
        <v>0.0</v>
      </c>
      <c r="U114" s="11" t="n">
        <v>0.0</v>
      </c>
      <c r="V114" s="11" t="n">
        <v>0.0</v>
      </c>
      <c r="W114" s="11" t="n">
        <v>0.0</v>
      </c>
      <c r="X114" s="11" t="n">
        <v>0.0</v>
      </c>
      <c r="Y114" s="11" t="n">
        <v>0.0</v>
      </c>
    </row>
    <row r="115">
      <c r="A115" s="7" t="inlineStr">
        <is>
          <t xml:space="preserve">                              Hospitality - 620501 - ضيافة</t>
        </is>
      </c>
      <c r="B115" s="7" t="inlineStr">
        <is>
          <t>620501</t>
        </is>
      </c>
      <c r="C115" s="11" t="n">
        <v>2893.92</v>
      </c>
      <c r="D115" s="11" t="n">
        <v>0.0</v>
      </c>
      <c r="E115" s="11" t="n">
        <v>2893.92</v>
      </c>
      <c r="F115" s="11" t="n">
        <v>0.0</v>
      </c>
      <c r="G115" s="11" t="n">
        <v>0.0</v>
      </c>
      <c r="H115" s="11" t="n">
        <v>0.0</v>
      </c>
      <c r="I115" s="11" t="n">
        <v>0.0</v>
      </c>
      <c r="J115" s="11" t="n">
        <v>0.0</v>
      </c>
      <c r="K115" s="11" t="n">
        <v>0.0</v>
      </c>
      <c r="L115" s="11" t="n">
        <v>0.0</v>
      </c>
      <c r="M115" s="11" t="n">
        <v>0.0</v>
      </c>
      <c r="N115" s="11" t="n">
        <v>0.0</v>
      </c>
      <c r="O115" s="11" t="n">
        <v>0.0</v>
      </c>
      <c r="P115" s="11" t="n">
        <v>0.0</v>
      </c>
      <c r="Q115" s="11" t="n">
        <v>0.0</v>
      </c>
      <c r="R115" s="11" t="n">
        <v>0.0</v>
      </c>
      <c r="S115" s="11" t="n">
        <v>0.0</v>
      </c>
      <c r="T115" s="11" t="n">
        <v>0.0</v>
      </c>
      <c r="U115" s="11" t="n">
        <v>0.0</v>
      </c>
      <c r="V115" s="11" t="n">
        <v>0.0</v>
      </c>
      <c r="W115" s="11" t="n">
        <v>0.0</v>
      </c>
      <c r="X115" s="11" t="n">
        <v>0.0</v>
      </c>
      <c r="Y115" s="11" t="n">
        <v>0.0</v>
      </c>
    </row>
    <row r="116">
      <c r="A116" s="7" t="inlineStr">
        <is>
          <t xml:space="preserve">                              Stationery - 620801 - قرطاسية</t>
        </is>
      </c>
      <c r="B116" s="7" t="inlineStr">
        <is>
          <t>620801</t>
        </is>
      </c>
      <c r="C116" s="11" t="n">
        <v>2127.58</v>
      </c>
      <c r="D116" s="11" t="n">
        <v>0.0</v>
      </c>
      <c r="E116" s="11" t="n">
        <v>2127.58</v>
      </c>
      <c r="F116" s="11" t="n">
        <v>0.0</v>
      </c>
      <c r="G116" s="11" t="n">
        <v>0.0</v>
      </c>
      <c r="H116" s="11" t="n">
        <v>0.0</v>
      </c>
      <c r="I116" s="11" t="n">
        <v>0.0</v>
      </c>
      <c r="J116" s="11" t="n">
        <v>0.0</v>
      </c>
      <c r="K116" s="11" t="n">
        <v>0.0</v>
      </c>
      <c r="L116" s="11" t="n">
        <v>0.0</v>
      </c>
      <c r="M116" s="11" t="n">
        <v>0.0</v>
      </c>
      <c r="N116" s="11" t="n">
        <v>0.0</v>
      </c>
      <c r="O116" s="11" t="n">
        <v>0.0</v>
      </c>
      <c r="P116" s="11" t="n">
        <v>0.0</v>
      </c>
      <c r="Q116" s="11" t="n">
        <v>0.0</v>
      </c>
      <c r="R116" s="11" t="n">
        <v>0.0</v>
      </c>
      <c r="S116" s="11" t="n">
        <v>0.0</v>
      </c>
      <c r="T116" s="11" t="n">
        <v>0.0</v>
      </c>
      <c r="U116" s="11" t="n">
        <v>0.0</v>
      </c>
      <c r="V116" s="11" t="n">
        <v>0.0</v>
      </c>
      <c r="W116" s="11" t="n">
        <v>0.0</v>
      </c>
      <c r="X116" s="11" t="n">
        <v>0.0</v>
      </c>
      <c r="Y116" s="11" t="n">
        <v>0.0</v>
      </c>
    </row>
    <row r="117">
      <c r="A117" s="7" t="inlineStr">
        <is>
          <t xml:space="preserve">                              montage fee - 620903 - اتعاب مونتاج</t>
        </is>
      </c>
      <c r="B117" s="7" t="inlineStr">
        <is>
          <t>620903</t>
        </is>
      </c>
      <c r="C117" s="11" t="n">
        <v>2450.0</v>
      </c>
      <c r="D117" s="11" t="n">
        <v>0.0</v>
      </c>
      <c r="E117" s="11" t="n">
        <v>2450.0</v>
      </c>
      <c r="F117" s="11" t="n">
        <v>0.0</v>
      </c>
      <c r="G117" s="11" t="n">
        <v>0.0</v>
      </c>
      <c r="H117" s="11" t="n">
        <v>0.0</v>
      </c>
      <c r="I117" s="11" t="n">
        <v>0.0</v>
      </c>
      <c r="J117" s="11" t="n">
        <v>0.0</v>
      </c>
      <c r="K117" s="11" t="n">
        <v>0.0</v>
      </c>
      <c r="L117" s="11" t="n">
        <v>0.0</v>
      </c>
      <c r="M117" s="11" t="n">
        <v>0.0</v>
      </c>
      <c r="N117" s="11" t="n">
        <v>0.0</v>
      </c>
      <c r="O117" s="11" t="n">
        <v>0.0</v>
      </c>
      <c r="P117" s="11" t="n">
        <v>0.0</v>
      </c>
      <c r="Q117" s="11" t="n">
        <v>0.0</v>
      </c>
      <c r="R117" s="11" t="n">
        <v>0.0</v>
      </c>
      <c r="S117" s="11" t="n">
        <v>0.0</v>
      </c>
      <c r="T117" s="11" t="n">
        <v>0.0</v>
      </c>
      <c r="U117" s="11" t="n">
        <v>0.0</v>
      </c>
      <c r="V117" s="11" t="n">
        <v>0.0</v>
      </c>
      <c r="W117" s="11" t="n">
        <v>0.0</v>
      </c>
      <c r="X117" s="11" t="n">
        <v>0.0</v>
      </c>
      <c r="Y117" s="11" t="n">
        <v>0.0</v>
      </c>
    </row>
    <row r="118">
      <c r="A118" s="7" t="inlineStr">
        <is>
          <t xml:space="preserve">                              Paper printing - 621101 - طباعة ورقية</t>
        </is>
      </c>
      <c r="B118" s="7" t="inlineStr">
        <is>
          <t>621101</t>
        </is>
      </c>
      <c r="C118" s="11" t="n">
        <v>373.91</v>
      </c>
      <c r="D118" s="11" t="n">
        <v>0.0</v>
      </c>
      <c r="E118" s="11" t="n">
        <v>373.91</v>
      </c>
      <c r="F118" s="11" t="n">
        <v>0.0</v>
      </c>
      <c r="G118" s="11" t="n">
        <v>0.0</v>
      </c>
      <c r="H118" s="11" t="n">
        <v>0.0</v>
      </c>
      <c r="I118" s="11" t="n">
        <v>0.0</v>
      </c>
      <c r="J118" s="11" t="n">
        <v>0.0</v>
      </c>
      <c r="K118" s="11" t="n">
        <v>0.0</v>
      </c>
      <c r="L118" s="11" t="n">
        <v>0.0</v>
      </c>
      <c r="M118" s="11" t="n">
        <v>0.0</v>
      </c>
      <c r="N118" s="11" t="n">
        <v>0.0</v>
      </c>
      <c r="O118" s="11" t="n">
        <v>0.0</v>
      </c>
      <c r="P118" s="11" t="n">
        <v>0.0</v>
      </c>
      <c r="Q118" s="11" t="n">
        <v>0.0</v>
      </c>
      <c r="R118" s="11" t="n">
        <v>0.0</v>
      </c>
      <c r="S118" s="11" t="n">
        <v>0.0</v>
      </c>
      <c r="T118" s="11" t="n">
        <v>0.0</v>
      </c>
      <c r="U118" s="11" t="n">
        <v>0.0</v>
      </c>
      <c r="V118" s="11" t="n">
        <v>0.0</v>
      </c>
      <c r="W118" s="11" t="n">
        <v>0.0</v>
      </c>
      <c r="X118" s="11" t="n">
        <v>0.0</v>
      </c>
      <c r="Y118" s="11" t="n">
        <v>0.0</v>
      </c>
    </row>
    <row r="119">
      <c r="A119" s="7" t="inlineStr">
        <is>
          <t xml:space="preserve">                              Guides and reports printing - 621106 - طباعة أدلة وتقارير</t>
        </is>
      </c>
      <c r="B119" s="7" t="inlineStr">
        <is>
          <t>621106</t>
        </is>
      </c>
      <c r="C119" s="11" t="n">
        <v>1500.0</v>
      </c>
      <c r="D119" s="11" t="n">
        <v>0.0</v>
      </c>
      <c r="E119" s="11" t="n">
        <v>1500.0</v>
      </c>
      <c r="F119" s="11" t="n">
        <v>0.0</v>
      </c>
      <c r="G119" s="11" t="n">
        <v>0.0</v>
      </c>
      <c r="H119" s="11" t="n">
        <v>0.0</v>
      </c>
      <c r="I119" s="11" t="n">
        <v>0.0</v>
      </c>
      <c r="J119" s="11" t="n">
        <v>0.0</v>
      </c>
      <c r="K119" s="11" t="n">
        <v>0.0</v>
      </c>
      <c r="L119" s="11" t="n">
        <v>0.0</v>
      </c>
      <c r="M119" s="11" t="n">
        <v>0.0</v>
      </c>
      <c r="N119" s="11" t="n">
        <v>0.0</v>
      </c>
      <c r="O119" s="11" t="n">
        <v>0.0</v>
      </c>
      <c r="P119" s="11" t="n">
        <v>0.0</v>
      </c>
      <c r="Q119" s="11" t="n">
        <v>0.0</v>
      </c>
      <c r="R119" s="11" t="n">
        <v>0.0</v>
      </c>
      <c r="S119" s="11" t="n">
        <v>0.0</v>
      </c>
      <c r="T119" s="11" t="n">
        <v>0.0</v>
      </c>
      <c r="U119" s="11" t="n">
        <v>0.0</v>
      </c>
      <c r="V119" s="11" t="n">
        <v>0.0</v>
      </c>
      <c r="W119" s="11" t="n">
        <v>0.0</v>
      </c>
      <c r="X119" s="11" t="n">
        <v>0.0</v>
      </c>
      <c r="Y119" s="11" t="n">
        <v>0.0</v>
      </c>
    </row>
    <row r="120">
      <c r="A120" s="7" t="inlineStr">
        <is>
          <t xml:space="preserve">                              Gifts - 621203 - هدايا</t>
        </is>
      </c>
      <c r="B120" s="7" t="inlineStr">
        <is>
          <t>621203</t>
        </is>
      </c>
      <c r="C120" s="11" t="n">
        <v>958.2</v>
      </c>
      <c r="D120" s="11" t="n">
        <v>0.0</v>
      </c>
      <c r="E120" s="11" t="n">
        <v>958.2</v>
      </c>
      <c r="F120" s="11" t="n">
        <v>0.0</v>
      </c>
      <c r="G120" s="11" t="n">
        <v>0.0</v>
      </c>
      <c r="H120" s="11" t="n">
        <v>0.0</v>
      </c>
      <c r="I120" s="11" t="n">
        <v>0.0</v>
      </c>
      <c r="J120" s="11" t="n">
        <v>0.0</v>
      </c>
      <c r="K120" s="11" t="n">
        <v>0.0</v>
      </c>
      <c r="L120" s="11" t="n">
        <v>0.0</v>
      </c>
      <c r="M120" s="11" t="n">
        <v>0.0</v>
      </c>
      <c r="N120" s="11" t="n">
        <v>0.0</v>
      </c>
      <c r="O120" s="11" t="n">
        <v>0.0</v>
      </c>
      <c r="P120" s="11" t="n">
        <v>0.0</v>
      </c>
      <c r="Q120" s="11" t="n">
        <v>0.0</v>
      </c>
      <c r="R120" s="11" t="n">
        <v>0.0</v>
      </c>
      <c r="S120" s="11" t="n">
        <v>0.0</v>
      </c>
      <c r="T120" s="11" t="n">
        <v>0.0</v>
      </c>
      <c r="U120" s="11" t="n">
        <v>0.0</v>
      </c>
      <c r="V120" s="11" t="n">
        <v>0.0</v>
      </c>
      <c r="W120" s="11" t="n">
        <v>0.0</v>
      </c>
      <c r="X120" s="11" t="n">
        <v>0.0</v>
      </c>
      <c r="Y120" s="11" t="n">
        <v>0.0</v>
      </c>
    </row>
    <row r="121">
      <c r="A121" s="7" t="inlineStr">
        <is>
          <t xml:space="preserve">                              Compnay telephone - 621301 - هاتف ثابت</t>
        </is>
      </c>
      <c r="B121" s="7" t="inlineStr">
        <is>
          <t>621301</t>
        </is>
      </c>
      <c r="C121" s="11" t="n">
        <v>1936.07</v>
      </c>
      <c r="D121" s="11" t="n">
        <v>0.0</v>
      </c>
      <c r="E121" s="11" t="n">
        <v>1936.07</v>
      </c>
      <c r="F121" s="11" t="n">
        <v>0.0</v>
      </c>
      <c r="G121" s="11" t="n">
        <v>0.0</v>
      </c>
      <c r="H121" s="11" t="n">
        <v>0.0</v>
      </c>
      <c r="I121" s="11" t="n">
        <v>0.0</v>
      </c>
      <c r="J121" s="11" t="n">
        <v>0.0</v>
      </c>
      <c r="K121" s="11" t="n">
        <v>0.0</v>
      </c>
      <c r="L121" s="11" t="n">
        <v>0.0</v>
      </c>
      <c r="M121" s="11" t="n">
        <v>0.0</v>
      </c>
      <c r="N121" s="11" t="n">
        <v>0.0</v>
      </c>
      <c r="O121" s="11" t="n">
        <v>0.0</v>
      </c>
      <c r="P121" s="11" t="n">
        <v>0.0</v>
      </c>
      <c r="Q121" s="11" t="n">
        <v>0.0</v>
      </c>
      <c r="R121" s="11" t="n">
        <v>0.0</v>
      </c>
      <c r="S121" s="11" t="n">
        <v>0.0</v>
      </c>
      <c r="T121" s="11" t="n">
        <v>0.0</v>
      </c>
      <c r="U121" s="11" t="n">
        <v>0.0</v>
      </c>
      <c r="V121" s="11" t="n">
        <v>0.0</v>
      </c>
      <c r="W121" s="11" t="n">
        <v>0.0</v>
      </c>
      <c r="X121" s="11" t="n">
        <v>0.0</v>
      </c>
      <c r="Y121" s="11" t="n">
        <v>0.0</v>
      </c>
    </row>
    <row r="122">
      <c r="A122" s="7" t="inlineStr">
        <is>
          <t xml:space="preserve">                              Internet - 621303 - انترنت</t>
        </is>
      </c>
      <c r="B122" s="7" t="inlineStr">
        <is>
          <t>621303</t>
        </is>
      </c>
      <c r="C122" s="11" t="n">
        <v>6377.84</v>
      </c>
      <c r="D122" s="11" t="n">
        <v>0.0</v>
      </c>
      <c r="E122" s="11" t="n">
        <v>6377.84</v>
      </c>
      <c r="F122" s="11" t="n">
        <v>0.0</v>
      </c>
      <c r="G122" s="11" t="n">
        <v>0.0</v>
      </c>
      <c r="H122" s="11" t="n">
        <v>0.0</v>
      </c>
      <c r="I122" s="11" t="n">
        <v>0.0</v>
      </c>
      <c r="J122" s="11" t="n">
        <v>0.0</v>
      </c>
      <c r="K122" s="11" t="n">
        <v>0.0</v>
      </c>
      <c r="L122" s="11" t="n">
        <v>0.0</v>
      </c>
      <c r="M122" s="11" t="n">
        <v>0.0</v>
      </c>
      <c r="N122" s="11" t="n">
        <v>0.0</v>
      </c>
      <c r="O122" s="11" t="n">
        <v>0.0</v>
      </c>
      <c r="P122" s="11" t="n">
        <v>0.0</v>
      </c>
      <c r="Q122" s="11" t="n">
        <v>0.0</v>
      </c>
      <c r="R122" s="11" t="n">
        <v>0.0</v>
      </c>
      <c r="S122" s="11" t="n">
        <v>0.0</v>
      </c>
      <c r="T122" s="11" t="n">
        <v>0.0</v>
      </c>
      <c r="U122" s="11" t="n">
        <v>0.0</v>
      </c>
      <c r="V122" s="11" t="n">
        <v>0.0</v>
      </c>
      <c r="W122" s="11" t="n">
        <v>0.0</v>
      </c>
      <c r="X122" s="11" t="n">
        <v>0.0</v>
      </c>
      <c r="Y122" s="11" t="n">
        <v>0.0</v>
      </c>
    </row>
    <row r="123">
      <c r="A123" s="7" t="inlineStr">
        <is>
          <t xml:space="preserve">                              SMS fees - 621306 - شحن رسائل SMS</t>
        </is>
      </c>
      <c r="B123" s="7" t="inlineStr">
        <is>
          <t>621306</t>
        </is>
      </c>
      <c r="C123" s="11" t="n">
        <v>200.0</v>
      </c>
      <c r="D123" s="11" t="n">
        <v>0.0</v>
      </c>
      <c r="E123" s="11" t="n">
        <v>200.0</v>
      </c>
      <c r="F123" s="11" t="n">
        <v>0.0</v>
      </c>
      <c r="G123" s="11" t="n">
        <v>0.0</v>
      </c>
      <c r="H123" s="11" t="n">
        <v>0.0</v>
      </c>
      <c r="I123" s="11" t="n">
        <v>0.0</v>
      </c>
      <c r="J123" s="11" t="n">
        <v>0.0</v>
      </c>
      <c r="K123" s="11" t="n">
        <v>0.0</v>
      </c>
      <c r="L123" s="11" t="n">
        <v>0.0</v>
      </c>
      <c r="M123" s="11" t="n">
        <v>0.0</v>
      </c>
      <c r="N123" s="11" t="n">
        <v>0.0</v>
      </c>
      <c r="O123" s="11" t="n">
        <v>0.0</v>
      </c>
      <c r="P123" s="11" t="n">
        <v>0.0</v>
      </c>
      <c r="Q123" s="11" t="n">
        <v>0.0</v>
      </c>
      <c r="R123" s="11" t="n">
        <v>0.0</v>
      </c>
      <c r="S123" s="11" t="n">
        <v>0.0</v>
      </c>
      <c r="T123" s="11" t="n">
        <v>0.0</v>
      </c>
      <c r="U123" s="11" t="n">
        <v>0.0</v>
      </c>
      <c r="V123" s="11" t="n">
        <v>0.0</v>
      </c>
      <c r="W123" s="11" t="n">
        <v>0.0</v>
      </c>
      <c r="X123" s="11" t="n">
        <v>0.0</v>
      </c>
      <c r="Y123" s="11" t="n">
        <v>0.0</v>
      </c>
    </row>
    <row r="124">
      <c r="A124" s="7" t="inlineStr">
        <is>
          <t xml:space="preserve">                              Office subscription - 621401 - اشتراك موقع Office</t>
        </is>
      </c>
      <c r="B124" s="7" t="inlineStr">
        <is>
          <t>621401</t>
        </is>
      </c>
      <c r="C124" s="11" t="n">
        <v>550.0</v>
      </c>
      <c r="D124" s="11" t="n">
        <v>0.0</v>
      </c>
      <c r="E124" s="11" t="n">
        <v>550.0</v>
      </c>
      <c r="F124" s="11" t="n">
        <v>0.0</v>
      </c>
      <c r="G124" s="11" t="n">
        <v>0.0</v>
      </c>
      <c r="H124" s="11" t="n">
        <v>0.0</v>
      </c>
      <c r="I124" s="11" t="n">
        <v>0.0</v>
      </c>
      <c r="J124" s="11" t="n">
        <v>0.0</v>
      </c>
      <c r="K124" s="11" t="n">
        <v>0.0</v>
      </c>
      <c r="L124" s="11" t="n">
        <v>0.0</v>
      </c>
      <c r="M124" s="11" t="n">
        <v>0.0</v>
      </c>
      <c r="N124" s="11" t="n">
        <v>0.0</v>
      </c>
      <c r="O124" s="11" t="n">
        <v>0.0</v>
      </c>
      <c r="P124" s="11" t="n">
        <v>0.0</v>
      </c>
      <c r="Q124" s="11" t="n">
        <v>0.0</v>
      </c>
      <c r="R124" s="11" t="n">
        <v>0.0</v>
      </c>
      <c r="S124" s="11" t="n">
        <v>0.0</v>
      </c>
      <c r="T124" s="11" t="n">
        <v>0.0</v>
      </c>
      <c r="U124" s="11" t="n">
        <v>0.0</v>
      </c>
      <c r="V124" s="11" t="n">
        <v>0.0</v>
      </c>
      <c r="W124" s="11" t="n">
        <v>0.0</v>
      </c>
      <c r="X124" s="11" t="n">
        <v>0.0</v>
      </c>
      <c r="Y124" s="11" t="n">
        <v>0.0</v>
      </c>
    </row>
    <row r="125">
      <c r="A125" s="7" t="inlineStr">
        <is>
          <t xml:space="preserve">                              Domain &amp; Hosting subscription - 621403 - اشتراك دومين و هوستينق</t>
        </is>
      </c>
      <c r="B125" s="7" t="inlineStr">
        <is>
          <t>621403</t>
        </is>
      </c>
      <c r="C125" s="11" t="n">
        <v>19522.0</v>
      </c>
      <c r="D125" s="11" t="n">
        <v>0.0</v>
      </c>
      <c r="E125" s="11" t="n">
        <v>19522.0</v>
      </c>
      <c r="F125" s="11" t="n">
        <v>0.0</v>
      </c>
      <c r="G125" s="11" t="n">
        <v>0.0</v>
      </c>
      <c r="H125" s="11" t="n">
        <v>0.0</v>
      </c>
      <c r="I125" s="11" t="n">
        <v>0.0</v>
      </c>
      <c r="J125" s="11" t="n">
        <v>0.0</v>
      </c>
      <c r="K125" s="11" t="n">
        <v>0.0</v>
      </c>
      <c r="L125" s="11" t="n">
        <v>0.0</v>
      </c>
      <c r="M125" s="11" t="n">
        <v>0.0</v>
      </c>
      <c r="N125" s="11" t="n">
        <v>0.0</v>
      </c>
      <c r="O125" s="11" t="n">
        <v>0.0</v>
      </c>
      <c r="P125" s="11" t="n">
        <v>0.0</v>
      </c>
      <c r="Q125" s="11" t="n">
        <v>0.0</v>
      </c>
      <c r="R125" s="11" t="n">
        <v>0.0</v>
      </c>
      <c r="S125" s="11" t="n">
        <v>0.0</v>
      </c>
      <c r="T125" s="11" t="n">
        <v>0.0</v>
      </c>
      <c r="U125" s="11" t="n">
        <v>0.0</v>
      </c>
      <c r="V125" s="11" t="n">
        <v>0.0</v>
      </c>
      <c r="W125" s="11" t="n">
        <v>0.0</v>
      </c>
      <c r="X125" s="11" t="n">
        <v>0.0</v>
      </c>
      <c r="Y125" s="11" t="n">
        <v>0.0</v>
      </c>
    </row>
    <row r="126">
      <c r="A126" s="7" t="inlineStr">
        <is>
          <t xml:space="preserve">                              Software and application subscription - 621409 - اشتراكات برامج وتطبيقات</t>
        </is>
      </c>
      <c r="B126" s="7" t="inlineStr">
        <is>
          <t>621409</t>
        </is>
      </c>
      <c r="C126" s="11" t="n">
        <v>4857.06</v>
      </c>
      <c r="D126" s="11" t="n">
        <v>0.0</v>
      </c>
      <c r="E126" s="11" t="n">
        <v>4002.0</v>
      </c>
      <c r="F126" s="11" t="n">
        <v>0.0</v>
      </c>
      <c r="G126" s="11" t="n">
        <v>0.0</v>
      </c>
      <c r="H126" s="11" t="n">
        <v>855.06</v>
      </c>
      <c r="I126" s="11" t="n">
        <v>0.0</v>
      </c>
      <c r="J126" s="11" t="n">
        <v>0.0</v>
      </c>
      <c r="K126" s="11" t="n">
        <v>0.0</v>
      </c>
      <c r="L126" s="11" t="n">
        <v>0.0</v>
      </c>
      <c r="M126" s="11" t="n">
        <v>0.0</v>
      </c>
      <c r="N126" s="11" t="n">
        <v>0.0</v>
      </c>
      <c r="O126" s="11" t="n">
        <v>0.0</v>
      </c>
      <c r="P126" s="11" t="n">
        <v>0.0</v>
      </c>
      <c r="Q126" s="11" t="n">
        <v>0.0</v>
      </c>
      <c r="R126" s="11" t="n">
        <v>0.0</v>
      </c>
      <c r="S126" s="11" t="n">
        <v>0.0</v>
      </c>
      <c r="T126" s="11" t="n">
        <v>0.0</v>
      </c>
      <c r="U126" s="11" t="n">
        <v>0.0</v>
      </c>
      <c r="V126" s="11" t="n">
        <v>0.0</v>
      </c>
      <c r="W126" s="11" t="n">
        <v>0.0</v>
      </c>
      <c r="X126" s="11" t="n">
        <v>0.0</v>
      </c>
      <c r="Y126" s="11" t="n">
        <v>0.0</v>
      </c>
    </row>
    <row r="127">
      <c r="A127" s="7" t="inlineStr">
        <is>
          <t xml:space="preserve">                              Zoho subscription - 621410 - اشتراك زوهو</t>
        </is>
      </c>
      <c r="B127" s="7" t="inlineStr">
        <is>
          <t>621410</t>
        </is>
      </c>
      <c r="C127" s="11" t="n">
        <v>8880.0</v>
      </c>
      <c r="D127" s="11" t="n">
        <v>0.0</v>
      </c>
      <c r="E127" s="11" t="n">
        <v>8880.0</v>
      </c>
      <c r="F127" s="11" t="n">
        <v>0.0</v>
      </c>
      <c r="G127" s="11" t="n">
        <v>0.0</v>
      </c>
      <c r="H127" s="11" t="n">
        <v>0.0</v>
      </c>
      <c r="I127" s="11" t="n">
        <v>0.0</v>
      </c>
      <c r="J127" s="11" t="n">
        <v>0.0</v>
      </c>
      <c r="K127" s="11" t="n">
        <v>0.0</v>
      </c>
      <c r="L127" s="11" t="n">
        <v>0.0</v>
      </c>
      <c r="M127" s="11" t="n">
        <v>0.0</v>
      </c>
      <c r="N127" s="11" t="n">
        <v>0.0</v>
      </c>
      <c r="O127" s="11" t="n">
        <v>0.0</v>
      </c>
      <c r="P127" s="11" t="n">
        <v>0.0</v>
      </c>
      <c r="Q127" s="11" t="n">
        <v>0.0</v>
      </c>
      <c r="R127" s="11" t="n">
        <v>0.0</v>
      </c>
      <c r="S127" s="11" t="n">
        <v>0.0</v>
      </c>
      <c r="T127" s="11" t="n">
        <v>0.0</v>
      </c>
      <c r="U127" s="11" t="n">
        <v>0.0</v>
      </c>
      <c r="V127" s="11" t="n">
        <v>0.0</v>
      </c>
      <c r="W127" s="11" t="n">
        <v>0.0</v>
      </c>
      <c r="X127" s="11" t="n">
        <v>0.0</v>
      </c>
      <c r="Y127" s="11" t="n">
        <v>0.0</v>
      </c>
    </row>
    <row r="128">
      <c r="A128" s="7" t="inlineStr">
        <is>
          <t xml:space="preserve">                              rent - 630101 - ايجارات</t>
        </is>
      </c>
      <c r="B128" s="7" t="inlineStr">
        <is>
          <t>630101</t>
        </is>
      </c>
      <c r="C128" s="11" t="n">
        <v>99800.0</v>
      </c>
      <c r="D128" s="11" t="n">
        <v>0.0</v>
      </c>
      <c r="E128" s="11" t="n">
        <v>99800.0</v>
      </c>
      <c r="F128" s="11" t="n">
        <v>0.0</v>
      </c>
      <c r="G128" s="11" t="n">
        <v>0.0</v>
      </c>
      <c r="H128" s="11" t="n">
        <v>0.0</v>
      </c>
      <c r="I128" s="11" t="n">
        <v>0.0</v>
      </c>
      <c r="J128" s="11" t="n">
        <v>0.0</v>
      </c>
      <c r="K128" s="11" t="n">
        <v>0.0</v>
      </c>
      <c r="L128" s="11" t="n">
        <v>0.0</v>
      </c>
      <c r="M128" s="11" t="n">
        <v>0.0</v>
      </c>
      <c r="N128" s="11" t="n">
        <v>0.0</v>
      </c>
      <c r="O128" s="11" t="n">
        <v>0.0</v>
      </c>
      <c r="P128" s="11" t="n">
        <v>0.0</v>
      </c>
      <c r="Q128" s="11" t="n">
        <v>0.0</v>
      </c>
      <c r="R128" s="11" t="n">
        <v>0.0</v>
      </c>
      <c r="S128" s="11" t="n">
        <v>0.0</v>
      </c>
      <c r="T128" s="11" t="n">
        <v>0.0</v>
      </c>
      <c r="U128" s="11" t="n">
        <v>0.0</v>
      </c>
      <c r="V128" s="11" t="n">
        <v>0.0</v>
      </c>
      <c r="W128" s="11" t="n">
        <v>0.0</v>
      </c>
      <c r="X128" s="11" t="n">
        <v>0.0</v>
      </c>
      <c r="Y128" s="11" t="n">
        <v>0.0</v>
      </c>
    </row>
    <row r="129">
      <c r="A129" s="7" t="inlineStr">
        <is>
          <t xml:space="preserve">                              electiricity  - 630102 - كهرباء</t>
        </is>
      </c>
      <c r="B129" s="7" t="inlineStr">
        <is>
          <t>630102</t>
        </is>
      </c>
      <c r="C129" s="11" t="n">
        <v>4417.86</v>
      </c>
      <c r="D129" s="11" t="n">
        <v>0.0</v>
      </c>
      <c r="E129" s="11" t="n">
        <v>4417.86</v>
      </c>
      <c r="F129" s="11" t="n">
        <v>0.0</v>
      </c>
      <c r="G129" s="11" t="n">
        <v>0.0</v>
      </c>
      <c r="H129" s="11" t="n">
        <v>0.0</v>
      </c>
      <c r="I129" s="11" t="n">
        <v>0.0</v>
      </c>
      <c r="J129" s="11" t="n">
        <v>0.0</v>
      </c>
      <c r="K129" s="11" t="n">
        <v>0.0</v>
      </c>
      <c r="L129" s="11" t="n">
        <v>0.0</v>
      </c>
      <c r="M129" s="11" t="n">
        <v>0.0</v>
      </c>
      <c r="N129" s="11" t="n">
        <v>0.0</v>
      </c>
      <c r="O129" s="11" t="n">
        <v>0.0</v>
      </c>
      <c r="P129" s="11" t="n">
        <v>0.0</v>
      </c>
      <c r="Q129" s="11" t="n">
        <v>0.0</v>
      </c>
      <c r="R129" s="11" t="n">
        <v>0.0</v>
      </c>
      <c r="S129" s="11" t="n">
        <v>0.0</v>
      </c>
      <c r="T129" s="11" t="n">
        <v>0.0</v>
      </c>
      <c r="U129" s="11" t="n">
        <v>0.0</v>
      </c>
      <c r="V129" s="11" t="n">
        <v>0.0</v>
      </c>
      <c r="W129" s="11" t="n">
        <v>0.0</v>
      </c>
      <c r="X129" s="11" t="n">
        <v>0.0</v>
      </c>
      <c r="Y129" s="11" t="n">
        <v>0.0</v>
      </c>
    </row>
    <row r="130">
      <c r="A130" s="7" t="inlineStr">
        <is>
          <t xml:space="preserve">                              Cleaning - 630103 - نظافة</t>
        </is>
      </c>
      <c r="B130" s="7" t="inlineStr">
        <is>
          <t>630103</t>
        </is>
      </c>
      <c r="C130" s="11" t="n">
        <v>4769.55</v>
      </c>
      <c r="D130" s="11" t="n">
        <v>0.0</v>
      </c>
      <c r="E130" s="11" t="n">
        <v>4769.55</v>
      </c>
      <c r="F130" s="11" t="n">
        <v>0.0</v>
      </c>
      <c r="G130" s="11" t="n">
        <v>0.0</v>
      </c>
      <c r="H130" s="11" t="n">
        <v>0.0</v>
      </c>
      <c r="I130" s="11" t="n">
        <v>0.0</v>
      </c>
      <c r="J130" s="11" t="n">
        <v>0.0</v>
      </c>
      <c r="K130" s="11" t="n">
        <v>0.0</v>
      </c>
      <c r="L130" s="11" t="n">
        <v>0.0</v>
      </c>
      <c r="M130" s="11" t="n">
        <v>0.0</v>
      </c>
      <c r="N130" s="11" t="n">
        <v>0.0</v>
      </c>
      <c r="O130" s="11" t="n">
        <v>0.0</v>
      </c>
      <c r="P130" s="11" t="n">
        <v>0.0</v>
      </c>
      <c r="Q130" s="11" t="n">
        <v>0.0</v>
      </c>
      <c r="R130" s="11" t="n">
        <v>0.0</v>
      </c>
      <c r="S130" s="11" t="n">
        <v>0.0</v>
      </c>
      <c r="T130" s="11" t="n">
        <v>0.0</v>
      </c>
      <c r="U130" s="11" t="n">
        <v>0.0</v>
      </c>
      <c r="V130" s="11" t="n">
        <v>0.0</v>
      </c>
      <c r="W130" s="11" t="n">
        <v>0.0</v>
      </c>
      <c r="X130" s="11" t="n">
        <v>0.0</v>
      </c>
      <c r="Y130" s="11" t="n">
        <v>0.0</v>
      </c>
    </row>
    <row r="131">
      <c r="A131" s="7" t="inlineStr">
        <is>
          <t xml:space="preserve">                              Fuel - 630104 - وقود ومحروقات</t>
        </is>
      </c>
      <c r="B131" s="7" t="inlineStr">
        <is>
          <t>630104</t>
        </is>
      </c>
      <c r="C131" s="11" t="n">
        <v>64.0</v>
      </c>
      <c r="D131" s="11" t="n">
        <v>0.0</v>
      </c>
      <c r="E131" s="11" t="n">
        <v>64.0</v>
      </c>
      <c r="F131" s="11" t="n">
        <v>0.0</v>
      </c>
      <c r="G131" s="11" t="n">
        <v>0.0</v>
      </c>
      <c r="H131" s="11" t="n">
        <v>0.0</v>
      </c>
      <c r="I131" s="11" t="n">
        <v>0.0</v>
      </c>
      <c r="J131" s="11" t="n">
        <v>0.0</v>
      </c>
      <c r="K131" s="11" t="n">
        <v>0.0</v>
      </c>
      <c r="L131" s="11" t="n">
        <v>0.0</v>
      </c>
      <c r="M131" s="11" t="n">
        <v>0.0</v>
      </c>
      <c r="N131" s="11" t="n">
        <v>0.0</v>
      </c>
      <c r="O131" s="11" t="n">
        <v>0.0</v>
      </c>
      <c r="P131" s="11" t="n">
        <v>0.0</v>
      </c>
      <c r="Q131" s="11" t="n">
        <v>0.0</v>
      </c>
      <c r="R131" s="11" t="n">
        <v>0.0</v>
      </c>
      <c r="S131" s="11" t="n">
        <v>0.0</v>
      </c>
      <c r="T131" s="11" t="n">
        <v>0.0</v>
      </c>
      <c r="U131" s="11" t="n">
        <v>0.0</v>
      </c>
      <c r="V131" s="11" t="n">
        <v>0.0</v>
      </c>
      <c r="W131" s="11" t="n">
        <v>0.0</v>
      </c>
      <c r="X131" s="11" t="n">
        <v>0.0</v>
      </c>
      <c r="Y131" s="11" t="n">
        <v>0.0</v>
      </c>
    </row>
    <row r="132">
      <c r="A132" s="7" t="inlineStr">
        <is>
          <t xml:space="preserve">                              Bank service charges - 630105 - خدمات بنكية</t>
        </is>
      </c>
      <c r="B132" s="7" t="inlineStr">
        <is>
          <t>630105</t>
        </is>
      </c>
      <c r="C132" s="11" t="n">
        <v>4323.32</v>
      </c>
      <c r="D132" s="11" t="n">
        <v>0.0</v>
      </c>
      <c r="E132" s="11" t="n">
        <v>4323.32</v>
      </c>
      <c r="F132" s="11" t="n">
        <v>0.0</v>
      </c>
      <c r="G132" s="11" t="n">
        <v>0.0</v>
      </c>
      <c r="H132" s="11" t="n">
        <v>0.0</v>
      </c>
      <c r="I132" s="11" t="n">
        <v>0.0</v>
      </c>
      <c r="J132" s="11" t="n">
        <v>0.0</v>
      </c>
      <c r="K132" s="11" t="n">
        <v>0.0</v>
      </c>
      <c r="L132" s="11" t="n">
        <v>0.0</v>
      </c>
      <c r="M132" s="11" t="n">
        <v>0.0</v>
      </c>
      <c r="N132" s="11" t="n">
        <v>0.0</v>
      </c>
      <c r="O132" s="11" t="n">
        <v>0.0</v>
      </c>
      <c r="P132" s="11" t="n">
        <v>0.0</v>
      </c>
      <c r="Q132" s="11" t="n">
        <v>0.0</v>
      </c>
      <c r="R132" s="11" t="n">
        <v>0.0</v>
      </c>
      <c r="S132" s="11" t="n">
        <v>0.0</v>
      </c>
      <c r="T132" s="11" t="n">
        <v>0.0</v>
      </c>
      <c r="U132" s="11" t="n">
        <v>0.0</v>
      </c>
      <c r="V132" s="11" t="n">
        <v>0.0</v>
      </c>
      <c r="W132" s="11" t="n">
        <v>0.0</v>
      </c>
      <c r="X132" s="11" t="n">
        <v>0.0</v>
      </c>
      <c r="Y132" s="11" t="n">
        <v>0.0</v>
      </c>
    </row>
    <row r="133">
      <c r="A133" s="7" t="inlineStr">
        <is>
          <t xml:space="preserve">                              Miscellaneous - 630106 - نثريات</t>
        </is>
      </c>
      <c r="B133" s="7" t="inlineStr">
        <is>
          <t>630106</t>
        </is>
      </c>
      <c r="C133" s="11" t="n">
        <v>1457.51</v>
      </c>
      <c r="D133" s="11" t="n">
        <v>0.0</v>
      </c>
      <c r="E133" s="11" t="n">
        <v>1457.51</v>
      </c>
      <c r="F133" s="11" t="n">
        <v>0.0</v>
      </c>
      <c r="G133" s="11" t="n">
        <v>0.0</v>
      </c>
      <c r="H133" s="11" t="n">
        <v>0.0</v>
      </c>
      <c r="I133" s="11" t="n">
        <v>0.0</v>
      </c>
      <c r="J133" s="11" t="n">
        <v>0.0</v>
      </c>
      <c r="K133" s="11" t="n">
        <v>0.0</v>
      </c>
      <c r="L133" s="11" t="n">
        <v>0.0</v>
      </c>
      <c r="M133" s="11" t="n">
        <v>0.0</v>
      </c>
      <c r="N133" s="11" t="n">
        <v>0.0</v>
      </c>
      <c r="O133" s="11" t="n">
        <v>0.0</v>
      </c>
      <c r="P133" s="11" t="n">
        <v>0.0</v>
      </c>
      <c r="Q133" s="11" t="n">
        <v>0.0</v>
      </c>
      <c r="R133" s="11" t="n">
        <v>0.0</v>
      </c>
      <c r="S133" s="11" t="n">
        <v>0.0</v>
      </c>
      <c r="T133" s="11" t="n">
        <v>0.0</v>
      </c>
      <c r="U133" s="11" t="n">
        <v>0.0</v>
      </c>
      <c r="V133" s="11" t="n">
        <v>0.0</v>
      </c>
      <c r="W133" s="11" t="n">
        <v>0.0</v>
      </c>
      <c r="X133" s="11" t="n">
        <v>0.0</v>
      </c>
      <c r="Y133" s="11" t="n">
        <v>0.0</v>
      </c>
    </row>
    <row r="134">
      <c r="A134" s="7" t="inlineStr">
        <is>
          <t xml:space="preserve">                              Withhodling tax - 630108 - ضريبة استقطاع</t>
        </is>
      </c>
      <c r="B134" s="7" t="inlineStr">
        <is>
          <t>630108</t>
        </is>
      </c>
      <c r="C134" s="11" t="n">
        <v>4264.94</v>
      </c>
      <c r="D134" s="11" t="n">
        <v>0.0</v>
      </c>
      <c r="E134" s="11" t="n">
        <v>4264.94</v>
      </c>
      <c r="F134" s="11" t="n">
        <v>0.0</v>
      </c>
      <c r="G134" s="11" t="n">
        <v>0.0</v>
      </c>
      <c r="H134" s="11" t="n">
        <v>0.0</v>
      </c>
      <c r="I134" s="11" t="n">
        <v>0.0</v>
      </c>
      <c r="J134" s="11" t="n">
        <v>0.0</v>
      </c>
      <c r="K134" s="11" t="n">
        <v>0.0</v>
      </c>
      <c r="L134" s="11" t="n">
        <v>0.0</v>
      </c>
      <c r="M134" s="11" t="n">
        <v>0.0</v>
      </c>
      <c r="N134" s="11" t="n">
        <v>0.0</v>
      </c>
      <c r="O134" s="11" t="n">
        <v>0.0</v>
      </c>
      <c r="P134" s="11" t="n">
        <v>0.0</v>
      </c>
      <c r="Q134" s="11" t="n">
        <v>0.0</v>
      </c>
      <c r="R134" s="11" t="n">
        <v>0.0</v>
      </c>
      <c r="S134" s="11" t="n">
        <v>0.0</v>
      </c>
      <c r="T134" s="11" t="n">
        <v>0.0</v>
      </c>
      <c r="U134" s="11" t="n">
        <v>0.0</v>
      </c>
      <c r="V134" s="11" t="n">
        <v>0.0</v>
      </c>
      <c r="W134" s="11" t="n">
        <v>0.0</v>
      </c>
      <c r="X134" s="11" t="n">
        <v>0.0</v>
      </c>
      <c r="Y134" s="11" t="n">
        <v>0.0</v>
      </c>
    </row>
    <row r="135">
      <c r="A135" s="7" t="inlineStr">
        <is>
          <t xml:space="preserve">                              Professiomal fees - 630111 - اتعاب مهنية ومحاماة</t>
        </is>
      </c>
      <c r="B135" s="7" t="inlineStr">
        <is>
          <t>630111</t>
        </is>
      </c>
      <c r="C135" s="11" t="n">
        <v>10000.0</v>
      </c>
      <c r="D135" s="11" t="n">
        <v>0.0</v>
      </c>
      <c r="E135" s="11" t="n">
        <v>10000.0</v>
      </c>
      <c r="F135" s="11" t="n">
        <v>0.0</v>
      </c>
      <c r="G135" s="11" t="n">
        <v>0.0</v>
      </c>
      <c r="H135" s="11" t="n">
        <v>0.0</v>
      </c>
      <c r="I135" s="11" t="n">
        <v>0.0</v>
      </c>
      <c r="J135" s="11" t="n">
        <v>0.0</v>
      </c>
      <c r="K135" s="11" t="n">
        <v>0.0</v>
      </c>
      <c r="L135" s="11" t="n">
        <v>0.0</v>
      </c>
      <c r="M135" s="11" t="n">
        <v>0.0</v>
      </c>
      <c r="N135" s="11" t="n">
        <v>0.0</v>
      </c>
      <c r="O135" s="11" t="n">
        <v>0.0</v>
      </c>
      <c r="P135" s="11" t="n">
        <v>0.0</v>
      </c>
      <c r="Q135" s="11" t="n">
        <v>0.0</v>
      </c>
      <c r="R135" s="11" t="n">
        <v>0.0</v>
      </c>
      <c r="S135" s="11" t="n">
        <v>0.0</v>
      </c>
      <c r="T135" s="11" t="n">
        <v>0.0</v>
      </c>
      <c r="U135" s="11" t="n">
        <v>0.0</v>
      </c>
      <c r="V135" s="11" t="n">
        <v>0.0</v>
      </c>
      <c r="W135" s="11" t="n">
        <v>0.0</v>
      </c>
      <c r="X135" s="11" t="n">
        <v>0.0</v>
      </c>
      <c r="Y135" s="11" t="n">
        <v>0.0</v>
      </c>
    </row>
    <row r="136">
      <c r="A136" s="7" t="inlineStr">
        <is>
          <t xml:space="preserve">                              Technical and electronic tools - 630116 - ادوات تقنية والكترونية وعدد</t>
        </is>
      </c>
      <c r="B136" s="7" t="inlineStr">
        <is>
          <t>630116</t>
        </is>
      </c>
      <c r="C136" s="11" t="n">
        <v>17953.66</v>
      </c>
      <c r="D136" s="11" t="n">
        <v>0.0</v>
      </c>
      <c r="E136" s="11" t="n">
        <v>17953.66</v>
      </c>
      <c r="F136" s="11" t="n">
        <v>0.0</v>
      </c>
      <c r="G136" s="11" t="n">
        <v>0.0</v>
      </c>
      <c r="H136" s="11" t="n">
        <v>0.0</v>
      </c>
      <c r="I136" s="11" t="n">
        <v>0.0</v>
      </c>
      <c r="J136" s="11" t="n">
        <v>0.0</v>
      </c>
      <c r="K136" s="11" t="n">
        <v>0.0</v>
      </c>
      <c r="L136" s="11" t="n">
        <v>0.0</v>
      </c>
      <c r="M136" s="11" t="n">
        <v>0.0</v>
      </c>
      <c r="N136" s="11" t="n">
        <v>0.0</v>
      </c>
      <c r="O136" s="11" t="n">
        <v>0.0</v>
      </c>
      <c r="P136" s="11" t="n">
        <v>0.0</v>
      </c>
      <c r="Q136" s="11" t="n">
        <v>0.0</v>
      </c>
      <c r="R136" s="11" t="n">
        <v>0.0</v>
      </c>
      <c r="S136" s="11" t="n">
        <v>0.0</v>
      </c>
      <c r="T136" s="11" t="n">
        <v>0.0</v>
      </c>
      <c r="U136" s="11" t="n">
        <v>0.0</v>
      </c>
      <c r="V136" s="11" t="n">
        <v>0.0</v>
      </c>
      <c r="W136" s="11" t="n">
        <v>0.0</v>
      </c>
      <c r="X136" s="11" t="n">
        <v>0.0</v>
      </c>
      <c r="Y136" s="11" t="n">
        <v>0.0</v>
      </c>
    </row>
    <row r="137">
      <c r="A137" s="7" t="inlineStr">
        <is>
          <t xml:space="preserve">                              Aathar Adm. Expenses - 630120 - مصاريف اثار الادارية</t>
        </is>
      </c>
      <c r="B137" s="7" t="inlineStr">
        <is>
          <t>630120</t>
        </is>
      </c>
      <c r="C137" s="11" t="n">
        <v>525000.0</v>
      </c>
      <c r="D137" s="11" t="n">
        <v>0.0</v>
      </c>
      <c r="E137" s="11" t="n">
        <v>525000.0</v>
      </c>
      <c r="F137" s="11" t="n">
        <v>0.0</v>
      </c>
      <c r="G137" s="11" t="n">
        <v>0.0</v>
      </c>
      <c r="H137" s="11" t="n">
        <v>0.0</v>
      </c>
      <c r="I137" s="11" t="n">
        <v>0.0</v>
      </c>
      <c r="J137" s="11" t="n">
        <v>0.0</v>
      </c>
      <c r="K137" s="11" t="n">
        <v>0.0</v>
      </c>
      <c r="L137" s="11" t="n">
        <v>0.0</v>
      </c>
      <c r="M137" s="11" t="n">
        <v>0.0</v>
      </c>
      <c r="N137" s="11" t="n">
        <v>0.0</v>
      </c>
      <c r="O137" s="11" t="n">
        <v>0.0</v>
      </c>
      <c r="P137" s="11" t="n">
        <v>0.0</v>
      </c>
      <c r="Q137" s="11" t="n">
        <v>0.0</v>
      </c>
      <c r="R137" s="11" t="n">
        <v>0.0</v>
      </c>
      <c r="S137" s="11" t="n">
        <v>0.0</v>
      </c>
      <c r="T137" s="11" t="n">
        <v>0.0</v>
      </c>
      <c r="U137" s="11" t="n">
        <v>0.0</v>
      </c>
      <c r="V137" s="11" t="n">
        <v>0.0</v>
      </c>
      <c r="W137" s="11" t="n">
        <v>0.0</v>
      </c>
      <c r="X137" s="11" t="n">
        <v>0.0</v>
      </c>
      <c r="Y137" s="11" t="n">
        <v>0.0</v>
      </c>
    </row>
    <row r="138">
      <c r="A138" s="7" t="inlineStr">
        <is>
          <t xml:space="preserve">                              General Maintenance Expenses - 630301 - صيانة عامة</t>
        </is>
      </c>
      <c r="B138" s="7" t="inlineStr">
        <is>
          <t>630301</t>
        </is>
      </c>
      <c r="C138" s="11" t="n">
        <v>4068.7</v>
      </c>
      <c r="D138" s="11" t="n">
        <v>0.0</v>
      </c>
      <c r="E138" s="11" t="n">
        <v>4068.7</v>
      </c>
      <c r="F138" s="11" t="n">
        <v>0.0</v>
      </c>
      <c r="G138" s="11" t="n">
        <v>0.0</v>
      </c>
      <c r="H138" s="11" t="n">
        <v>0.0</v>
      </c>
      <c r="I138" s="11" t="n">
        <v>0.0</v>
      </c>
      <c r="J138" s="11" t="n">
        <v>0.0</v>
      </c>
      <c r="K138" s="11" t="n">
        <v>0.0</v>
      </c>
      <c r="L138" s="11" t="n">
        <v>0.0</v>
      </c>
      <c r="M138" s="11" t="n">
        <v>0.0</v>
      </c>
      <c r="N138" s="11" t="n">
        <v>0.0</v>
      </c>
      <c r="O138" s="11" t="n">
        <v>0.0</v>
      </c>
      <c r="P138" s="11" t="n">
        <v>0.0</v>
      </c>
      <c r="Q138" s="11" t="n">
        <v>0.0</v>
      </c>
      <c r="R138" s="11" t="n">
        <v>0.0</v>
      </c>
      <c r="S138" s="11" t="n">
        <v>0.0</v>
      </c>
      <c r="T138" s="11" t="n">
        <v>0.0</v>
      </c>
      <c r="U138" s="11" t="n">
        <v>0.0</v>
      </c>
      <c r="V138" s="11" t="n">
        <v>0.0</v>
      </c>
      <c r="W138" s="11" t="n">
        <v>0.0</v>
      </c>
      <c r="X138" s="11" t="n">
        <v>0.0</v>
      </c>
      <c r="Y138" s="11" t="n">
        <v>0.0</v>
      </c>
    </row>
    <row r="139">
      <c r="A139" s="7" t="inlineStr">
        <is>
          <t xml:space="preserve">                              Training fees - 630501 - رسوم تدريب</t>
        </is>
      </c>
      <c r="B139" s="7" t="inlineStr">
        <is>
          <t>630501</t>
        </is>
      </c>
      <c r="C139" s="11" t="n">
        <v>10955.0</v>
      </c>
      <c r="D139" s="11" t="n">
        <v>0.0</v>
      </c>
      <c r="E139" s="11" t="n">
        <v>0.0</v>
      </c>
      <c r="F139" s="11" t="n">
        <v>0.0</v>
      </c>
      <c r="G139" s="11" t="n">
        <v>10955.0</v>
      </c>
      <c r="H139" s="11" t="n">
        <v>0.0</v>
      </c>
      <c r="I139" s="11" t="n">
        <v>0.0</v>
      </c>
      <c r="J139" s="11" t="n">
        <v>0.0</v>
      </c>
      <c r="K139" s="11" t="n">
        <v>0.0</v>
      </c>
      <c r="L139" s="11" t="n">
        <v>0.0</v>
      </c>
      <c r="M139" s="11" t="n">
        <v>0.0</v>
      </c>
      <c r="N139" s="11" t="n">
        <v>0.0</v>
      </c>
      <c r="O139" s="11" t="n">
        <v>0.0</v>
      </c>
      <c r="P139" s="11" t="n">
        <v>0.0</v>
      </c>
      <c r="Q139" s="11" t="n">
        <v>0.0</v>
      </c>
      <c r="R139" s="11" t="n">
        <v>0.0</v>
      </c>
      <c r="S139" s="11" t="n">
        <v>0.0</v>
      </c>
      <c r="T139" s="11" t="n">
        <v>0.0</v>
      </c>
      <c r="U139" s="11" t="n">
        <v>0.0</v>
      </c>
      <c r="V139" s="11" t="n">
        <v>0.0</v>
      </c>
      <c r="W139" s="11" t="n">
        <v>0.0</v>
      </c>
      <c r="X139" s="11" t="n">
        <v>0.0</v>
      </c>
      <c r="Y139" s="11" t="n">
        <v>0.0</v>
      </c>
    </row>
    <row r="140">
      <c r="A140" s="7" t="inlineStr">
        <is>
          <t xml:space="preserve">                              Headquarter establishment expenses -Riyad - 630801 - تاسيس مكتب الرياض</t>
        </is>
      </c>
      <c r="B140" s="7" t="inlineStr">
        <is>
          <t>630801</t>
        </is>
      </c>
      <c r="C140" s="11" t="n">
        <v>256063.02</v>
      </c>
      <c r="D140" s="11" t="n">
        <v>0.0</v>
      </c>
      <c r="E140" s="11" t="n">
        <v>256063.02</v>
      </c>
      <c r="F140" s="11" t="n">
        <v>0.0</v>
      </c>
      <c r="G140" s="11" t="n">
        <v>0.0</v>
      </c>
      <c r="H140" s="11" t="n">
        <v>0.0</v>
      </c>
      <c r="I140" s="11" t="n">
        <v>0.0</v>
      </c>
      <c r="J140" s="11" t="n">
        <v>0.0</v>
      </c>
      <c r="K140" s="11" t="n">
        <v>0.0</v>
      </c>
      <c r="L140" s="11" t="n">
        <v>0.0</v>
      </c>
      <c r="M140" s="11" t="n">
        <v>0.0</v>
      </c>
      <c r="N140" s="11" t="n">
        <v>0.0</v>
      </c>
      <c r="O140" s="11" t="n">
        <v>0.0</v>
      </c>
      <c r="P140" s="11" t="n">
        <v>0.0</v>
      </c>
      <c r="Q140" s="11" t="n">
        <v>0.0</v>
      </c>
      <c r="R140" s="11" t="n">
        <v>0.0</v>
      </c>
      <c r="S140" s="11" t="n">
        <v>0.0</v>
      </c>
      <c r="T140" s="11" t="n">
        <v>0.0</v>
      </c>
      <c r="U140" s="11" t="n">
        <v>0.0</v>
      </c>
      <c r="V140" s="11" t="n">
        <v>0.0</v>
      </c>
      <c r="W140" s="11" t="n">
        <v>0.0</v>
      </c>
      <c r="X140" s="11" t="n">
        <v>0.0</v>
      </c>
      <c r="Y140" s="11" t="n">
        <v>0.0</v>
      </c>
    </row>
    <row r="141">
      <c r="A141" s="26" t="inlineStr">
        <is>
          <t xml:space="preserve">                    Total for G &amp; A Expenses- 62 - مصاريف ادارية وعمومية</t>
        </is>
      </c>
      <c r="B141" t="inlineStr">
        <is>
          <t>62</t>
        </is>
      </c>
      <c r="C141" s="5" t="n">
        <f>(+(C102)+(C103)+(C104)+(C105)+(C106)+(C107)+(C108)+(C109)+(C110)+(C111)+(C112)+(C113)+(C114)+(C115)+(C116)+(C117)+(C118)+(C119)+(C120)+(C121)+(C122)+(C123)+(C124)+(C125)+(C126)+(C127)+(C128)+(C129)+(C130)+(C131)+(C132)+(C133)+(C134)+(C135)+(C136)+(C137)+(C138)+(C139)+(C140))</f>
        <v>0.0</v>
      </c>
      <c r="D141" s="5" t="n">
        <f>(+(D102)+(D103)+(D104)+(D105)+(D106)+(D107)+(D108)+(D109)+(D110)+(D111)+(D112)+(D113)+(D114)+(D115)+(D116)+(D117)+(D118)+(D119)+(D120)+(D121)+(D122)+(D123)+(D124)+(D125)+(D126)+(D127)+(D128)+(D129)+(D130)+(D131)+(D132)+(D133)+(D134)+(D135)+(D136)+(D137)+(D138)+(D139)+(D140))</f>
        <v>0.0</v>
      </c>
      <c r="E141" s="5" t="n">
        <f>(+(E102)+(E103)+(E104)+(E105)+(E106)+(E107)+(E108)+(E109)+(E110)+(E111)+(E112)+(E113)+(E114)+(E115)+(E116)+(E117)+(E118)+(E119)+(E120)+(E121)+(E122)+(E123)+(E124)+(E125)+(E126)+(E127)+(E128)+(E129)+(E130)+(E131)+(E132)+(E133)+(E134)+(E135)+(E136)+(E137)+(E138)+(E139)+(E140))</f>
        <v>0.0</v>
      </c>
      <c r="F141" s="5" t="n">
        <f>(+(F102)+(F103)+(F104)+(F105)+(F106)+(F107)+(F108)+(F109)+(F110)+(F111)+(F112)+(F113)+(F114)+(F115)+(F116)+(F117)+(F118)+(F119)+(F120)+(F121)+(F122)+(F123)+(F124)+(F125)+(F126)+(F127)+(F128)+(F129)+(F130)+(F131)+(F132)+(F133)+(F134)+(F135)+(F136)+(F137)+(F138)+(F139)+(F140))</f>
        <v>0.0</v>
      </c>
      <c r="G141" s="5" t="n">
        <f>(+(G102)+(G103)+(G104)+(G105)+(G106)+(G107)+(G108)+(G109)+(G110)+(G111)+(G112)+(G113)+(G114)+(G115)+(G116)+(G117)+(G118)+(G119)+(G120)+(G121)+(G122)+(G123)+(G124)+(G125)+(G126)+(G127)+(G128)+(G129)+(G130)+(G131)+(G132)+(G133)+(G134)+(G135)+(G136)+(G137)+(G138)+(G139)+(G140))</f>
        <v>0.0</v>
      </c>
      <c r="H141" s="5" t="n">
        <f>(+(H102)+(H103)+(H104)+(H105)+(H106)+(H107)+(H108)+(H109)+(H110)+(H111)+(H112)+(H113)+(H114)+(H115)+(H116)+(H117)+(H118)+(H119)+(H120)+(H121)+(H122)+(H123)+(H124)+(H125)+(H126)+(H127)+(H128)+(H129)+(H130)+(H131)+(H132)+(H133)+(H134)+(H135)+(H136)+(H137)+(H138)+(H139)+(H140))</f>
        <v>0.0</v>
      </c>
      <c r="I141" s="5" t="n">
        <f>(+(I102)+(I103)+(I104)+(I105)+(I106)+(I107)+(I108)+(I109)+(I110)+(I111)+(I112)+(I113)+(I114)+(I115)+(I116)+(I117)+(I118)+(I119)+(I120)+(I121)+(I122)+(I123)+(I124)+(I125)+(I126)+(I127)+(I128)+(I129)+(I130)+(I131)+(I132)+(I133)+(I134)+(I135)+(I136)+(I137)+(I138)+(I139)+(I140))</f>
        <v>0.0</v>
      </c>
      <c r="J141" s="5" t="n">
        <f>(+(J102)+(J103)+(J104)+(J105)+(J106)+(J107)+(J108)+(J109)+(J110)+(J111)+(J112)+(J113)+(J114)+(J115)+(J116)+(J117)+(J118)+(J119)+(J120)+(J121)+(J122)+(J123)+(J124)+(J125)+(J126)+(J127)+(J128)+(J129)+(J130)+(J131)+(J132)+(J133)+(J134)+(J135)+(J136)+(J137)+(J138)+(J139)+(J140))</f>
        <v>0.0</v>
      </c>
      <c r="K141" s="5" t="n">
        <f>(+(K102)+(K103)+(K104)+(K105)+(K106)+(K107)+(K108)+(K109)+(K110)+(K111)+(K112)+(K113)+(K114)+(K115)+(K116)+(K117)+(K118)+(K119)+(K120)+(K121)+(K122)+(K123)+(K124)+(K125)+(K126)+(K127)+(K128)+(K129)+(K130)+(K131)+(K132)+(K133)+(K134)+(K135)+(K136)+(K137)+(K138)+(K139)+(K140))</f>
        <v>0.0</v>
      </c>
      <c r="L141" s="5" t="n">
        <f>(+(L102)+(L103)+(L104)+(L105)+(L106)+(L107)+(L108)+(L109)+(L110)+(L111)+(L112)+(L113)+(L114)+(L115)+(L116)+(L117)+(L118)+(L119)+(L120)+(L121)+(L122)+(L123)+(L124)+(L125)+(L126)+(L127)+(L128)+(L129)+(L130)+(L131)+(L132)+(L133)+(L134)+(L135)+(L136)+(L137)+(L138)+(L139)+(L140))</f>
        <v>0.0</v>
      </c>
      <c r="M141" s="5" t="n">
        <f>(+(M102)+(M103)+(M104)+(M105)+(M106)+(M107)+(M108)+(M109)+(M110)+(M111)+(M112)+(M113)+(M114)+(M115)+(M116)+(M117)+(M118)+(M119)+(M120)+(M121)+(M122)+(M123)+(M124)+(M125)+(M126)+(M127)+(M128)+(M129)+(M130)+(M131)+(M132)+(M133)+(M134)+(M135)+(M136)+(M137)+(M138)+(M139)+(M140))</f>
        <v>0.0</v>
      </c>
      <c r="N141" s="5" t="n">
        <f>(+(N102)+(N103)+(N104)+(N105)+(N106)+(N107)+(N108)+(N109)+(N110)+(N111)+(N112)+(N113)+(N114)+(N115)+(N116)+(N117)+(N118)+(N119)+(N120)+(N121)+(N122)+(N123)+(N124)+(N125)+(N126)+(N127)+(N128)+(N129)+(N130)+(N131)+(N132)+(N133)+(N134)+(N135)+(N136)+(N137)+(N138)+(N139)+(N140))</f>
        <v>0.0</v>
      </c>
      <c r="O141" s="5" t="n">
        <f>(+(O102)+(O103)+(O104)+(O105)+(O106)+(O107)+(O108)+(O109)+(O110)+(O111)+(O112)+(O113)+(O114)+(O115)+(O116)+(O117)+(O118)+(O119)+(O120)+(O121)+(O122)+(O123)+(O124)+(O125)+(O126)+(O127)+(O128)+(O129)+(O130)+(O131)+(O132)+(O133)+(O134)+(O135)+(O136)+(O137)+(O138)+(O139)+(O140))</f>
        <v>0.0</v>
      </c>
      <c r="P141" s="5" t="n">
        <f>(+(P102)+(P103)+(P104)+(P105)+(P106)+(P107)+(P108)+(P109)+(P110)+(P111)+(P112)+(P113)+(P114)+(P115)+(P116)+(P117)+(P118)+(P119)+(P120)+(P121)+(P122)+(P123)+(P124)+(P125)+(P126)+(P127)+(P128)+(P129)+(P130)+(P131)+(P132)+(P133)+(P134)+(P135)+(P136)+(P137)+(P138)+(P139)+(P140))</f>
        <v>0.0</v>
      </c>
      <c r="Q141" s="5" t="n">
        <f>(+(Q102)+(Q103)+(Q104)+(Q105)+(Q106)+(Q107)+(Q108)+(Q109)+(Q110)+(Q111)+(Q112)+(Q113)+(Q114)+(Q115)+(Q116)+(Q117)+(Q118)+(Q119)+(Q120)+(Q121)+(Q122)+(Q123)+(Q124)+(Q125)+(Q126)+(Q127)+(Q128)+(Q129)+(Q130)+(Q131)+(Q132)+(Q133)+(Q134)+(Q135)+(Q136)+(Q137)+(Q138)+(Q139)+(Q140))</f>
        <v>0.0</v>
      </c>
      <c r="R141" s="5" t="n">
        <f>(+(R102)+(R103)+(R104)+(R105)+(R106)+(R107)+(R108)+(R109)+(R110)+(R111)+(R112)+(R113)+(R114)+(R115)+(R116)+(R117)+(R118)+(R119)+(R120)+(R121)+(R122)+(R123)+(R124)+(R125)+(R126)+(R127)+(R128)+(R129)+(R130)+(R131)+(R132)+(R133)+(R134)+(R135)+(R136)+(R137)+(R138)+(R139)+(R140))</f>
        <v>0.0</v>
      </c>
      <c r="S141" s="5" t="n">
        <f>(+(S102)+(S103)+(S104)+(S105)+(S106)+(S107)+(S108)+(S109)+(S110)+(S111)+(S112)+(S113)+(S114)+(S115)+(S116)+(S117)+(S118)+(S119)+(S120)+(S121)+(S122)+(S123)+(S124)+(S125)+(S126)+(S127)+(S128)+(S129)+(S130)+(S131)+(S132)+(S133)+(S134)+(S135)+(S136)+(S137)+(S138)+(S139)+(S140))</f>
        <v>0.0</v>
      </c>
      <c r="T141" s="5" t="n">
        <f>(+(T102)+(T103)+(T104)+(T105)+(T106)+(T107)+(T108)+(T109)+(T110)+(T111)+(T112)+(T113)+(T114)+(T115)+(T116)+(T117)+(T118)+(T119)+(T120)+(T121)+(T122)+(T123)+(T124)+(T125)+(T126)+(T127)+(T128)+(T129)+(T130)+(T131)+(T132)+(T133)+(T134)+(T135)+(T136)+(T137)+(T138)+(T139)+(T140))</f>
        <v>0.0</v>
      </c>
      <c r="U141" s="5" t="n">
        <f>(+(U102)+(U103)+(U104)+(U105)+(U106)+(U107)+(U108)+(U109)+(U110)+(U111)+(U112)+(U113)+(U114)+(U115)+(U116)+(U117)+(U118)+(U119)+(U120)+(U121)+(U122)+(U123)+(U124)+(U125)+(U126)+(U127)+(U128)+(U129)+(U130)+(U131)+(U132)+(U133)+(U134)+(U135)+(U136)+(U137)+(U138)+(U139)+(U140))</f>
        <v>0.0</v>
      </c>
      <c r="V141" s="5" t="n">
        <f>(+(V102)+(V103)+(V104)+(V105)+(V106)+(V107)+(V108)+(V109)+(V110)+(V111)+(V112)+(V113)+(V114)+(V115)+(V116)+(V117)+(V118)+(V119)+(V120)+(V121)+(V122)+(V123)+(V124)+(V125)+(V126)+(V127)+(V128)+(V129)+(V130)+(V131)+(V132)+(V133)+(V134)+(V135)+(V136)+(V137)+(V138)+(V139)+(V140))</f>
        <v>0.0</v>
      </c>
      <c r="W141" s="5" t="n">
        <f>(+(W102)+(W103)+(W104)+(W105)+(W106)+(W107)+(W108)+(W109)+(W110)+(W111)+(W112)+(W113)+(W114)+(W115)+(W116)+(W117)+(W118)+(W119)+(W120)+(W121)+(W122)+(W123)+(W124)+(W125)+(W126)+(W127)+(W128)+(W129)+(W130)+(W131)+(W132)+(W133)+(W134)+(W135)+(W136)+(W137)+(W138)+(W139)+(W140))</f>
        <v>0.0</v>
      </c>
      <c r="X141" s="5" t="n">
        <f>(+(X102)+(X103)+(X104)+(X105)+(X106)+(X107)+(X108)+(X109)+(X110)+(X111)+(X112)+(X113)+(X114)+(X115)+(X116)+(X117)+(X118)+(X119)+(X120)+(X121)+(X122)+(X123)+(X124)+(X125)+(X126)+(X127)+(X128)+(X129)+(X130)+(X131)+(X132)+(X133)+(X134)+(X135)+(X136)+(X137)+(X138)+(X139)+(X140))</f>
        <v>0.0</v>
      </c>
      <c r="Y141" s="5" t="n">
        <f>(+(Y102)+(Y103)+(Y104)+(Y105)+(Y106)+(Y107)+(Y108)+(Y109)+(Y110)+(Y111)+(Y112)+(Y113)+(Y114)+(Y115)+(Y116)+(Y117)+(Y118)+(Y119)+(Y120)+(Y121)+(Y122)+(Y123)+(Y124)+(Y125)+(Y126)+(Y127)+(Y128)+(Y129)+(Y130)+(Y131)+(Y132)+(Y133)+(Y134)+(Y135)+(Y136)+(Y137)+(Y138)+(Y139)+(Y140))</f>
        <v>0.0</v>
      </c>
    </row>
    <row r="143">
      <c r="A143" s="26" t="inlineStr">
        <is>
          <t xml:space="preserve">          Total for General and administrative expenses - 6 - المصاريف العمومية و الإدارية</t>
        </is>
      </c>
      <c r="B143" t="inlineStr">
        <is>
          <t>6</t>
        </is>
      </c>
      <c r="C143" s="5" t="n">
        <f>(+(C89)+(C100)+(C141))</f>
        <v>0.0</v>
      </c>
      <c r="D143" s="5" t="n">
        <f>(+(D89)+(D100)+(D141))</f>
        <v>0.0</v>
      </c>
      <c r="E143" s="5" t="n">
        <f>(+(E89)+(E100)+(E141))</f>
        <v>0.0</v>
      </c>
      <c r="F143" s="5" t="n">
        <f>(+(F89)+(F100)+(F141))</f>
        <v>0.0</v>
      </c>
      <c r="G143" s="5" t="n">
        <f>(+(G89)+(G100)+(G141))</f>
        <v>0.0</v>
      </c>
      <c r="H143" s="5" t="n">
        <f>(+(H89)+(H100)+(H141))</f>
        <v>0.0</v>
      </c>
      <c r="I143" s="5" t="n">
        <f>(+(I89)+(I100)+(I141))</f>
        <v>0.0</v>
      </c>
      <c r="J143" s="5" t="n">
        <f>(+(J89)+(J100)+(J141))</f>
        <v>0.0</v>
      </c>
      <c r="K143" s="5" t="n">
        <f>(+(K89)+(K100)+(K141))</f>
        <v>0.0</v>
      </c>
      <c r="L143" s="5" t="n">
        <f>(+(L89)+(L100)+(L141))</f>
        <v>0.0</v>
      </c>
      <c r="M143" s="5" t="n">
        <f>(+(M89)+(M100)+(M141))</f>
        <v>0.0</v>
      </c>
      <c r="N143" s="5" t="n">
        <f>(+(N89)+(N100)+(N141))</f>
        <v>0.0</v>
      </c>
      <c r="O143" s="5" t="n">
        <f>(+(O89)+(O100)+(O141))</f>
        <v>0.0</v>
      </c>
      <c r="P143" s="5" t="n">
        <f>(+(P89)+(P100)+(P141))</f>
        <v>0.0</v>
      </c>
      <c r="Q143" s="5" t="n">
        <f>(+(Q89)+(Q100)+(Q141))</f>
        <v>0.0</v>
      </c>
      <c r="R143" s="5" t="n">
        <f>(+(R89)+(R100)+(R141))</f>
        <v>0.0</v>
      </c>
      <c r="S143" s="5" t="n">
        <f>(+(S89)+(S100)+(S141))</f>
        <v>0.0</v>
      </c>
      <c r="T143" s="5" t="n">
        <f>(+(T89)+(T100)+(T141))</f>
        <v>0.0</v>
      </c>
      <c r="U143" s="5" t="n">
        <f>(+(U89)+(U100)+(U141))</f>
        <v>0.0</v>
      </c>
      <c r="V143" s="5" t="n">
        <f>(+(V89)+(V100)+(V141))</f>
        <v>0.0</v>
      </c>
      <c r="W143" s="5" t="n">
        <f>(+(W89)+(W100)+(W141))</f>
        <v>0.0</v>
      </c>
      <c r="X143" s="5" t="n">
        <f>(+(X89)+(X100)+(X141))</f>
        <v>0.0</v>
      </c>
      <c r="Y143" s="5" t="n">
        <f>(+(Y89)+(Y100)+(Y141))</f>
        <v>0.0</v>
      </c>
    </row>
    <row r="145">
      <c r="A145" s="7" t="inlineStr">
        <is>
          <t xml:space="preserve">          General and administrative expenses - 7 - المصاريف البيعية و التسويقية</t>
        </is>
      </c>
      <c r="B145" s="7" t="inlineStr">
        <is>
          <t>7</t>
        </is>
      </c>
      <c r="C145" s="11" t="n">
        <v>0.0</v>
      </c>
      <c r="D145" s="11" t="n">
        <v>0.0</v>
      </c>
      <c r="E145" s="11" t="n">
        <v>0.0</v>
      </c>
      <c r="F145" s="11" t="n">
        <v>0.0</v>
      </c>
      <c r="G145" s="11" t="n">
        <v>0.0</v>
      </c>
      <c r="H145" s="11" t="n">
        <v>0.0</v>
      </c>
      <c r="I145" s="11" t="n">
        <v>0.0</v>
      </c>
      <c r="J145" s="11" t="n">
        <v>0.0</v>
      </c>
      <c r="K145" s="11" t="n">
        <v>0.0</v>
      </c>
      <c r="L145" s="11" t="n">
        <v>0.0</v>
      </c>
      <c r="M145" s="11" t="n">
        <v>0.0</v>
      </c>
      <c r="N145" s="11" t="n">
        <v>0.0</v>
      </c>
      <c r="O145" s="11" t="n">
        <v>0.0</v>
      </c>
      <c r="P145" s="11" t="n">
        <v>0.0</v>
      </c>
      <c r="Q145" s="11" t="n">
        <v>0.0</v>
      </c>
      <c r="R145" s="11" t="n">
        <v>0.0</v>
      </c>
      <c r="S145" s="11" t="n">
        <v>0.0</v>
      </c>
      <c r="T145" s="11" t="n">
        <v>0.0</v>
      </c>
      <c r="U145" s="11" t="n">
        <v>0.0</v>
      </c>
      <c r="V145" s="11" t="n">
        <v>0.0</v>
      </c>
      <c r="W145" s="11" t="n">
        <v>0.0</v>
      </c>
      <c r="X145" s="11" t="n">
        <v>0.0</v>
      </c>
      <c r="Y145" s="11" t="n">
        <v>0.0</v>
      </c>
    </row>
    <row r="146">
      <c r="A146" s="7" t="inlineStr">
        <is>
          <t xml:space="preserve">                    Marketing expenses - 72 -  مصاريف تسويقية</t>
        </is>
      </c>
      <c r="B146" s="7" t="inlineStr">
        <is>
          <t>72</t>
        </is>
      </c>
      <c r="C146" s="11" t="n">
        <v>0.0</v>
      </c>
      <c r="D146" s="11" t="n">
        <v>0.0</v>
      </c>
      <c r="E146" s="11" t="n">
        <v>0.0</v>
      </c>
      <c r="F146" s="11" t="n">
        <v>0.0</v>
      </c>
      <c r="G146" s="11" t="n">
        <v>0.0</v>
      </c>
      <c r="H146" s="11" t="n">
        <v>0.0</v>
      </c>
      <c r="I146" s="11" t="n">
        <v>0.0</v>
      </c>
      <c r="J146" s="11" t="n">
        <v>0.0</v>
      </c>
      <c r="K146" s="11" t="n">
        <v>0.0</v>
      </c>
      <c r="L146" s="11" t="n">
        <v>0.0</v>
      </c>
      <c r="M146" s="11" t="n">
        <v>0.0</v>
      </c>
      <c r="N146" s="11" t="n">
        <v>0.0</v>
      </c>
      <c r="O146" s="11" t="n">
        <v>0.0</v>
      </c>
      <c r="P146" s="11" t="n">
        <v>0.0</v>
      </c>
      <c r="Q146" s="11" t="n">
        <v>0.0</v>
      </c>
      <c r="R146" s="11" t="n">
        <v>0.0</v>
      </c>
      <c r="S146" s="11" t="n">
        <v>0.0</v>
      </c>
      <c r="T146" s="11" t="n">
        <v>0.0</v>
      </c>
      <c r="U146" s="11" t="n">
        <v>0.0</v>
      </c>
      <c r="V146" s="11" t="n">
        <v>0.0</v>
      </c>
      <c r="W146" s="11" t="n">
        <v>0.0</v>
      </c>
      <c r="X146" s="11" t="n">
        <v>0.0</v>
      </c>
      <c r="Y146" s="11" t="n">
        <v>0.0</v>
      </c>
    </row>
    <row r="147">
      <c r="A147" s="7" t="inlineStr">
        <is>
          <t xml:space="preserve">                              Other government fees - 710306 - رسوم حكومية اخرى</t>
        </is>
      </c>
      <c r="B147" s="7" t="inlineStr">
        <is>
          <t>710306</t>
        </is>
      </c>
      <c r="C147" s="11" t="n">
        <v>13750.0</v>
      </c>
      <c r="D147" s="11" t="n">
        <v>0.0</v>
      </c>
      <c r="E147" s="11" t="n">
        <v>0.0</v>
      </c>
      <c r="F147" s="11" t="n">
        <v>13750.0</v>
      </c>
      <c r="G147" s="11" t="n">
        <v>0.0</v>
      </c>
      <c r="H147" s="11" t="n">
        <v>0.0</v>
      </c>
      <c r="I147" s="11" t="n">
        <v>0.0</v>
      </c>
      <c r="J147" s="11" t="n">
        <v>0.0</v>
      </c>
      <c r="K147" s="11" t="n">
        <v>0.0</v>
      </c>
      <c r="L147" s="11" t="n">
        <v>0.0</v>
      </c>
      <c r="M147" s="11" t="n">
        <v>0.0</v>
      </c>
      <c r="N147" s="11" t="n">
        <v>0.0</v>
      </c>
      <c r="O147" s="11" t="n">
        <v>0.0</v>
      </c>
      <c r="P147" s="11" t="n">
        <v>0.0</v>
      </c>
      <c r="Q147" s="11" t="n">
        <v>0.0</v>
      </c>
      <c r="R147" s="11" t="n">
        <v>0.0</v>
      </c>
      <c r="S147" s="11" t="n">
        <v>0.0</v>
      </c>
      <c r="T147" s="11" t="n">
        <v>0.0</v>
      </c>
      <c r="U147" s="11" t="n">
        <v>0.0</v>
      </c>
      <c r="V147" s="11" t="n">
        <v>0.0</v>
      </c>
      <c r="W147" s="11" t="n">
        <v>0.0</v>
      </c>
      <c r="X147" s="11" t="n">
        <v>0.0</v>
      </c>
      <c r="Y147" s="11" t="n">
        <v>0.0</v>
      </c>
    </row>
    <row r="148">
      <c r="A148" s="7" t="inlineStr">
        <is>
          <t xml:space="preserve">                              Employee perdeim - 720201 - انتدابات موظفين</t>
        </is>
      </c>
      <c r="B148" s="7" t="inlineStr">
        <is>
          <t>720201</t>
        </is>
      </c>
      <c r="C148" s="11" t="n">
        <v>2250.0</v>
      </c>
      <c r="D148" s="11" t="n">
        <v>0.0</v>
      </c>
      <c r="E148" s="11" t="n">
        <v>0.0</v>
      </c>
      <c r="F148" s="11" t="n">
        <v>2250.0</v>
      </c>
      <c r="G148" s="11" t="n">
        <v>0.0</v>
      </c>
      <c r="H148" s="11" t="n">
        <v>0.0</v>
      </c>
      <c r="I148" s="11" t="n">
        <v>0.0</v>
      </c>
      <c r="J148" s="11" t="n">
        <v>0.0</v>
      </c>
      <c r="K148" s="11" t="n">
        <v>0.0</v>
      </c>
      <c r="L148" s="11" t="n">
        <v>0.0</v>
      </c>
      <c r="M148" s="11" t="n">
        <v>0.0</v>
      </c>
      <c r="N148" s="11" t="n">
        <v>0.0</v>
      </c>
      <c r="O148" s="11" t="n">
        <v>0.0</v>
      </c>
      <c r="P148" s="11" t="n">
        <v>0.0</v>
      </c>
      <c r="Q148" s="11" t="n">
        <v>0.0</v>
      </c>
      <c r="R148" s="11" t="n">
        <v>0.0</v>
      </c>
      <c r="S148" s="11" t="n">
        <v>0.0</v>
      </c>
      <c r="T148" s="11" t="n">
        <v>0.0</v>
      </c>
      <c r="U148" s="11" t="n">
        <v>0.0</v>
      </c>
      <c r="V148" s="11" t="n">
        <v>0.0</v>
      </c>
      <c r="W148" s="11" t="n">
        <v>0.0</v>
      </c>
      <c r="X148" s="11" t="n">
        <v>0.0</v>
      </c>
      <c r="Y148" s="11" t="n">
        <v>0.0</v>
      </c>
    </row>
    <row r="149">
      <c r="A149" s="7" t="inlineStr">
        <is>
          <t xml:space="preserve">                              Employee tickets - 720301 - تذاكر موظفين</t>
        </is>
      </c>
      <c r="B149" s="7" t="inlineStr">
        <is>
          <t>720301</t>
        </is>
      </c>
      <c r="C149" s="11" t="n">
        <v>12769.37</v>
      </c>
      <c r="D149" s="11" t="n">
        <v>0.0</v>
      </c>
      <c r="E149" s="11" t="n">
        <v>0.0</v>
      </c>
      <c r="F149" s="11" t="n">
        <v>12769.37</v>
      </c>
      <c r="G149" s="11" t="n">
        <v>0.0</v>
      </c>
      <c r="H149" s="11" t="n">
        <v>0.0</v>
      </c>
      <c r="I149" s="11" t="n">
        <v>0.0</v>
      </c>
      <c r="J149" s="11" t="n">
        <v>0.0</v>
      </c>
      <c r="K149" s="11" t="n">
        <v>0.0</v>
      </c>
      <c r="L149" s="11" t="n">
        <v>0.0</v>
      </c>
      <c r="M149" s="11" t="n">
        <v>0.0</v>
      </c>
      <c r="N149" s="11" t="n">
        <v>0.0</v>
      </c>
      <c r="O149" s="11" t="n">
        <v>0.0</v>
      </c>
      <c r="P149" s="11" t="n">
        <v>0.0</v>
      </c>
      <c r="Q149" s="11" t="n">
        <v>0.0</v>
      </c>
      <c r="R149" s="11" t="n">
        <v>0.0</v>
      </c>
      <c r="S149" s="11" t="n">
        <v>0.0</v>
      </c>
      <c r="T149" s="11" t="n">
        <v>0.0</v>
      </c>
      <c r="U149" s="11" t="n">
        <v>0.0</v>
      </c>
      <c r="V149" s="11" t="n">
        <v>0.0</v>
      </c>
      <c r="W149" s="11" t="n">
        <v>0.0</v>
      </c>
      <c r="X149" s="11" t="n">
        <v>0.0</v>
      </c>
      <c r="Y149" s="11" t="n">
        <v>0.0</v>
      </c>
    </row>
    <row r="150">
      <c r="A150" s="7" t="inlineStr">
        <is>
          <t xml:space="preserve">                              Co-operators tickets - 720302 - تذاكر متعاونين</t>
        </is>
      </c>
      <c r="B150" s="7" t="inlineStr">
        <is>
          <t>720302</t>
        </is>
      </c>
      <c r="C150" s="11" t="n">
        <v>1518.88</v>
      </c>
      <c r="D150" s="11" t="n">
        <v>0.0</v>
      </c>
      <c r="E150" s="11" t="n">
        <v>0.0</v>
      </c>
      <c r="F150" s="11" t="n">
        <v>1518.88</v>
      </c>
      <c r="G150" s="11" t="n">
        <v>0.0</v>
      </c>
      <c r="H150" s="11" t="n">
        <v>0.0</v>
      </c>
      <c r="I150" s="11" t="n">
        <v>0.0</v>
      </c>
      <c r="J150" s="11" t="n">
        <v>0.0</v>
      </c>
      <c r="K150" s="11" t="n">
        <v>0.0</v>
      </c>
      <c r="L150" s="11" t="n">
        <v>0.0</v>
      </c>
      <c r="M150" s="11" t="n">
        <v>0.0</v>
      </c>
      <c r="N150" s="11" t="n">
        <v>0.0</v>
      </c>
      <c r="O150" s="11" t="n">
        <v>0.0</v>
      </c>
      <c r="P150" s="11" t="n">
        <v>0.0</v>
      </c>
      <c r="Q150" s="11" t="n">
        <v>0.0</v>
      </c>
      <c r="R150" s="11" t="n">
        <v>0.0</v>
      </c>
      <c r="S150" s="11" t="n">
        <v>0.0</v>
      </c>
      <c r="T150" s="11" t="n">
        <v>0.0</v>
      </c>
      <c r="U150" s="11" t="n">
        <v>0.0</v>
      </c>
      <c r="V150" s="11" t="n">
        <v>0.0</v>
      </c>
      <c r="W150" s="11" t="n">
        <v>0.0</v>
      </c>
      <c r="X150" s="11" t="n">
        <v>0.0</v>
      </c>
      <c r="Y150" s="11" t="n">
        <v>0.0</v>
      </c>
    </row>
    <row r="151">
      <c r="A151" s="7" t="inlineStr">
        <is>
          <t xml:space="preserve">                              Emplyee transportation - 720401 - مواصلات موظفين</t>
        </is>
      </c>
      <c r="B151" s="7" t="inlineStr">
        <is>
          <t>720401</t>
        </is>
      </c>
      <c r="C151" s="11" t="n">
        <v>6487.83</v>
      </c>
      <c r="D151" s="11" t="n">
        <v>0.0</v>
      </c>
      <c r="E151" s="11" t="n">
        <v>0.0</v>
      </c>
      <c r="F151" s="11" t="n">
        <v>6487.83</v>
      </c>
      <c r="G151" s="11" t="n">
        <v>0.0</v>
      </c>
      <c r="H151" s="11" t="n">
        <v>0.0</v>
      </c>
      <c r="I151" s="11" t="n">
        <v>0.0</v>
      </c>
      <c r="J151" s="11" t="n">
        <v>0.0</v>
      </c>
      <c r="K151" s="11" t="n">
        <v>0.0</v>
      </c>
      <c r="L151" s="11" t="n">
        <v>0.0</v>
      </c>
      <c r="M151" s="11" t="n">
        <v>0.0</v>
      </c>
      <c r="N151" s="11" t="n">
        <v>0.0</v>
      </c>
      <c r="O151" s="11" t="n">
        <v>0.0</v>
      </c>
      <c r="P151" s="11" t="n">
        <v>0.0</v>
      </c>
      <c r="Q151" s="11" t="n">
        <v>0.0</v>
      </c>
      <c r="R151" s="11" t="n">
        <v>0.0</v>
      </c>
      <c r="S151" s="11" t="n">
        <v>0.0</v>
      </c>
      <c r="T151" s="11" t="n">
        <v>0.0</v>
      </c>
      <c r="U151" s="11" t="n">
        <v>0.0</v>
      </c>
      <c r="V151" s="11" t="n">
        <v>0.0</v>
      </c>
      <c r="W151" s="11" t="n">
        <v>0.0</v>
      </c>
      <c r="X151" s="11" t="n">
        <v>0.0</v>
      </c>
      <c r="Y151" s="11" t="n">
        <v>0.0</v>
      </c>
    </row>
    <row r="152">
      <c r="A152" s="7" t="inlineStr">
        <is>
          <t xml:space="preserve">                              Identity Design - 721004 - تصميم هويات</t>
        </is>
      </c>
      <c r="B152" s="7" t="inlineStr">
        <is>
          <t>721004</t>
        </is>
      </c>
      <c r="C152" s="11" t="n">
        <v>6720.0</v>
      </c>
      <c r="D152" s="11" t="n">
        <v>0.0</v>
      </c>
      <c r="E152" s="11" t="n">
        <v>0.0</v>
      </c>
      <c r="F152" s="11" t="n">
        <v>6720.0</v>
      </c>
      <c r="G152" s="11" t="n">
        <v>0.0</v>
      </c>
      <c r="H152" s="11" t="n">
        <v>0.0</v>
      </c>
      <c r="I152" s="11" t="n">
        <v>0.0</v>
      </c>
      <c r="J152" s="11" t="n">
        <v>0.0</v>
      </c>
      <c r="K152" s="11" t="n">
        <v>0.0</v>
      </c>
      <c r="L152" s="11" t="n">
        <v>0.0</v>
      </c>
      <c r="M152" s="11" t="n">
        <v>0.0</v>
      </c>
      <c r="N152" s="11" t="n">
        <v>0.0</v>
      </c>
      <c r="O152" s="11" t="n">
        <v>0.0</v>
      </c>
      <c r="P152" s="11" t="n">
        <v>0.0</v>
      </c>
      <c r="Q152" s="11" t="n">
        <v>0.0</v>
      </c>
      <c r="R152" s="11" t="n">
        <v>0.0</v>
      </c>
      <c r="S152" s="11" t="n">
        <v>0.0</v>
      </c>
      <c r="T152" s="11" t="n">
        <v>0.0</v>
      </c>
      <c r="U152" s="11" t="n">
        <v>0.0</v>
      </c>
      <c r="V152" s="11" t="n">
        <v>0.0</v>
      </c>
      <c r="W152" s="11" t="n">
        <v>0.0</v>
      </c>
      <c r="X152" s="11" t="n">
        <v>0.0</v>
      </c>
      <c r="Y152" s="11" t="n">
        <v>0.0</v>
      </c>
    </row>
    <row r="153">
      <c r="A153" s="7" t="inlineStr">
        <is>
          <t xml:space="preserve">                              Gifts - 721203 - هدايا</t>
        </is>
      </c>
      <c r="B153" s="7" t="inlineStr">
        <is>
          <t>721203</t>
        </is>
      </c>
      <c r="C153" s="11" t="n">
        <v>2300.0</v>
      </c>
      <c r="D153" s="11" t="n">
        <v>0.0</v>
      </c>
      <c r="E153" s="11" t="n">
        <v>0.0</v>
      </c>
      <c r="F153" s="11" t="n">
        <v>2300.0</v>
      </c>
      <c r="G153" s="11" t="n">
        <v>0.0</v>
      </c>
      <c r="H153" s="11" t="n">
        <v>0.0</v>
      </c>
      <c r="I153" s="11" t="n">
        <v>0.0</v>
      </c>
      <c r="J153" s="11" t="n">
        <v>0.0</v>
      </c>
      <c r="K153" s="11" t="n">
        <v>0.0</v>
      </c>
      <c r="L153" s="11" t="n">
        <v>0.0</v>
      </c>
      <c r="M153" s="11" t="n">
        <v>0.0</v>
      </c>
      <c r="N153" s="11" t="n">
        <v>0.0</v>
      </c>
      <c r="O153" s="11" t="n">
        <v>0.0</v>
      </c>
      <c r="P153" s="11" t="n">
        <v>0.0</v>
      </c>
      <c r="Q153" s="11" t="n">
        <v>0.0</v>
      </c>
      <c r="R153" s="11" t="n">
        <v>0.0</v>
      </c>
      <c r="S153" s="11" t="n">
        <v>0.0</v>
      </c>
      <c r="T153" s="11" t="n">
        <v>0.0</v>
      </c>
      <c r="U153" s="11" t="n">
        <v>0.0</v>
      </c>
      <c r="V153" s="11" t="n">
        <v>0.0</v>
      </c>
      <c r="W153" s="11" t="n">
        <v>0.0</v>
      </c>
      <c r="X153" s="11" t="n">
        <v>0.0</v>
      </c>
      <c r="Y153" s="11" t="n">
        <v>0.0</v>
      </c>
    </row>
    <row r="154">
      <c r="A154" s="7" t="inlineStr">
        <is>
          <t xml:space="preserve">                              Software and application subscription - 721409 - اشتراكات برامج وتطبيقات</t>
        </is>
      </c>
      <c r="B154" s="7" t="inlineStr">
        <is>
          <t>721409</t>
        </is>
      </c>
      <c r="C154" s="11" t="n">
        <v>2603.72</v>
      </c>
      <c r="D154" s="11" t="n">
        <v>0.0</v>
      </c>
      <c r="E154" s="11" t="n">
        <v>0.0</v>
      </c>
      <c r="F154" s="11" t="n">
        <v>2603.72</v>
      </c>
      <c r="G154" s="11" t="n">
        <v>0.0</v>
      </c>
      <c r="H154" s="11" t="n">
        <v>0.0</v>
      </c>
      <c r="I154" s="11" t="n">
        <v>0.0</v>
      </c>
      <c r="J154" s="11" t="n">
        <v>0.0</v>
      </c>
      <c r="K154" s="11" t="n">
        <v>0.0</v>
      </c>
      <c r="L154" s="11" t="n">
        <v>0.0</v>
      </c>
      <c r="M154" s="11" t="n">
        <v>0.0</v>
      </c>
      <c r="N154" s="11" t="n">
        <v>0.0</v>
      </c>
      <c r="O154" s="11" t="n">
        <v>0.0</v>
      </c>
      <c r="P154" s="11" t="n">
        <v>0.0</v>
      </c>
      <c r="Q154" s="11" t="n">
        <v>0.0</v>
      </c>
      <c r="R154" s="11" t="n">
        <v>0.0</v>
      </c>
      <c r="S154" s="11" t="n">
        <v>0.0</v>
      </c>
      <c r="T154" s="11" t="n">
        <v>0.0</v>
      </c>
      <c r="U154" s="11" t="n">
        <v>0.0</v>
      </c>
      <c r="V154" s="11" t="n">
        <v>0.0</v>
      </c>
      <c r="W154" s="11" t="n">
        <v>0.0</v>
      </c>
      <c r="X154" s="11" t="n">
        <v>0.0</v>
      </c>
      <c r="Y154" s="11" t="n">
        <v>0.0</v>
      </c>
    </row>
    <row r="155">
      <c r="A155" s="7" t="inlineStr">
        <is>
          <t xml:space="preserve">                              Marketing commission - 730107 - عمولات تسويق</t>
        </is>
      </c>
      <c r="B155" s="7" t="inlineStr">
        <is>
          <t>730107</t>
        </is>
      </c>
      <c r="C155" s="11" t="n">
        <v>34149.05</v>
      </c>
      <c r="D155" s="11" t="n">
        <v>0.0</v>
      </c>
      <c r="E155" s="11" t="n">
        <v>0.0</v>
      </c>
      <c r="F155" s="11" t="n">
        <v>0.0</v>
      </c>
      <c r="G155" s="11" t="n">
        <v>0.0</v>
      </c>
      <c r="H155" s="11" t="n">
        <v>0.0</v>
      </c>
      <c r="I155" s="11" t="n">
        <v>0.0</v>
      </c>
      <c r="J155" s="11" t="n">
        <v>0.0</v>
      </c>
      <c r="K155" s="11" t="n">
        <v>0.0</v>
      </c>
      <c r="L155" s="11" t="n">
        <v>0.0</v>
      </c>
      <c r="M155" s="11" t="n">
        <v>0.0</v>
      </c>
      <c r="N155" s="11" t="n">
        <v>0.0</v>
      </c>
      <c r="O155" s="11" t="n">
        <v>0.0</v>
      </c>
      <c r="P155" s="11" t="n">
        <v>33000.0</v>
      </c>
      <c r="Q155" s="11" t="n">
        <v>0.0</v>
      </c>
      <c r="R155" s="11" t="n">
        <v>0.0</v>
      </c>
      <c r="S155" s="11" t="n">
        <v>0.0</v>
      </c>
      <c r="T155" s="11" t="n">
        <v>1149.05</v>
      </c>
      <c r="U155" s="11" t="n">
        <v>0.0</v>
      </c>
      <c r="V155" s="11" t="n">
        <v>0.0</v>
      </c>
      <c r="W155" s="11" t="n">
        <v>0.0</v>
      </c>
      <c r="X155" s="11" t="n">
        <v>0.0</v>
      </c>
      <c r="Y155" s="11" t="n">
        <v>0.0</v>
      </c>
    </row>
    <row r="156">
      <c r="A156" s="26" t="inlineStr">
        <is>
          <t xml:space="preserve">                    Total for Marketing expenses - 72 -  مصاريف تسويقية</t>
        </is>
      </c>
      <c r="B156" t="inlineStr">
        <is>
          <t>72</t>
        </is>
      </c>
      <c r="C156" s="5" t="n">
        <f>(+(C146)+(C147)+(C148)+(C149)+(C150)+(C151)+(C152)+(C153)+(C154)+(C155))</f>
        <v>0.0</v>
      </c>
      <c r="D156" s="5" t="n">
        <f>(+(D146)+(D147)+(D148)+(D149)+(D150)+(D151)+(D152)+(D153)+(D154)+(D155))</f>
        <v>0.0</v>
      </c>
      <c r="E156" s="5" t="n">
        <f>(+(E146)+(E147)+(E148)+(E149)+(E150)+(E151)+(E152)+(E153)+(E154)+(E155))</f>
        <v>0.0</v>
      </c>
      <c r="F156" s="5" t="n">
        <f>(+(F146)+(F147)+(F148)+(F149)+(F150)+(F151)+(F152)+(F153)+(F154)+(F155))</f>
        <v>0.0</v>
      </c>
      <c r="G156" s="5" t="n">
        <f>(+(G146)+(G147)+(G148)+(G149)+(G150)+(G151)+(G152)+(G153)+(G154)+(G155))</f>
        <v>0.0</v>
      </c>
      <c r="H156" s="5" t="n">
        <f>(+(H146)+(H147)+(H148)+(H149)+(H150)+(H151)+(H152)+(H153)+(H154)+(H155))</f>
        <v>0.0</v>
      </c>
      <c r="I156" s="5" t="n">
        <f>(+(I146)+(I147)+(I148)+(I149)+(I150)+(I151)+(I152)+(I153)+(I154)+(I155))</f>
        <v>0.0</v>
      </c>
      <c r="J156" s="5" t="n">
        <f>(+(J146)+(J147)+(J148)+(J149)+(J150)+(J151)+(J152)+(J153)+(J154)+(J155))</f>
        <v>0.0</v>
      </c>
      <c r="K156" s="5" t="n">
        <f>(+(K146)+(K147)+(K148)+(K149)+(K150)+(K151)+(K152)+(K153)+(K154)+(K155))</f>
        <v>0.0</v>
      </c>
      <c r="L156" s="5" t="n">
        <f>(+(L146)+(L147)+(L148)+(L149)+(L150)+(L151)+(L152)+(L153)+(L154)+(L155))</f>
        <v>0.0</v>
      </c>
      <c r="M156" s="5" t="n">
        <f>(+(M146)+(M147)+(M148)+(M149)+(M150)+(M151)+(M152)+(M153)+(M154)+(M155))</f>
        <v>0.0</v>
      </c>
      <c r="N156" s="5" t="n">
        <f>(+(N146)+(N147)+(N148)+(N149)+(N150)+(N151)+(N152)+(N153)+(N154)+(N155))</f>
        <v>0.0</v>
      </c>
      <c r="O156" s="5" t="n">
        <f>(+(O146)+(O147)+(O148)+(O149)+(O150)+(O151)+(O152)+(O153)+(O154)+(O155))</f>
        <v>0.0</v>
      </c>
      <c r="P156" s="5" t="n">
        <f>(+(P146)+(P147)+(P148)+(P149)+(P150)+(P151)+(P152)+(P153)+(P154)+(P155))</f>
        <v>0.0</v>
      </c>
      <c r="Q156" s="5" t="n">
        <f>(+(Q146)+(Q147)+(Q148)+(Q149)+(Q150)+(Q151)+(Q152)+(Q153)+(Q154)+(Q155))</f>
        <v>0.0</v>
      </c>
      <c r="R156" s="5" t="n">
        <f>(+(R146)+(R147)+(R148)+(R149)+(R150)+(R151)+(R152)+(R153)+(R154)+(R155))</f>
        <v>0.0</v>
      </c>
      <c r="S156" s="5" t="n">
        <f>(+(S146)+(S147)+(S148)+(S149)+(S150)+(S151)+(S152)+(S153)+(S154)+(S155))</f>
        <v>0.0</v>
      </c>
      <c r="T156" s="5" t="n">
        <f>(+(T146)+(T147)+(T148)+(T149)+(T150)+(T151)+(T152)+(T153)+(T154)+(T155))</f>
        <v>0.0</v>
      </c>
      <c r="U156" s="5" t="n">
        <f>(+(U146)+(U147)+(U148)+(U149)+(U150)+(U151)+(U152)+(U153)+(U154)+(U155))</f>
        <v>0.0</v>
      </c>
      <c r="V156" s="5" t="n">
        <f>(+(V146)+(V147)+(V148)+(V149)+(V150)+(V151)+(V152)+(V153)+(V154)+(V155))</f>
        <v>0.0</v>
      </c>
      <c r="W156" s="5" t="n">
        <f>(+(W146)+(W147)+(W148)+(W149)+(W150)+(W151)+(W152)+(W153)+(W154)+(W155))</f>
        <v>0.0</v>
      </c>
      <c r="X156" s="5" t="n">
        <f>(+(X146)+(X147)+(X148)+(X149)+(X150)+(X151)+(X152)+(X153)+(X154)+(X155))</f>
        <v>0.0</v>
      </c>
      <c r="Y156" s="5" t="n">
        <f>(+(Y146)+(Y147)+(Y148)+(Y149)+(Y150)+(Y151)+(Y152)+(Y153)+(Y154)+(Y155))</f>
        <v>0.0</v>
      </c>
    </row>
    <row r="158">
      <c r="A158" s="26" t="inlineStr">
        <is>
          <t xml:space="preserve">          Total for General and administrative expenses - 7 - المصاريف البيعية و التسويقية</t>
        </is>
      </c>
      <c r="B158" t="inlineStr">
        <is>
          <t>7</t>
        </is>
      </c>
      <c r="C158" s="5" t="n">
        <f>(+(C145)+(C156))</f>
        <v>0.0</v>
      </c>
      <c r="D158" s="5" t="n">
        <f>(+(D145)+(D156))</f>
        <v>0.0</v>
      </c>
      <c r="E158" s="5" t="n">
        <f>(+(E145)+(E156))</f>
        <v>0.0</v>
      </c>
      <c r="F158" s="5" t="n">
        <f>(+(F145)+(F156))</f>
        <v>0.0</v>
      </c>
      <c r="G158" s="5" t="n">
        <f>(+(G145)+(G156))</f>
        <v>0.0</v>
      </c>
      <c r="H158" s="5" t="n">
        <f>(+(H145)+(H156))</f>
        <v>0.0</v>
      </c>
      <c r="I158" s="5" t="n">
        <f>(+(I145)+(I156))</f>
        <v>0.0</v>
      </c>
      <c r="J158" s="5" t="n">
        <f>(+(J145)+(J156))</f>
        <v>0.0</v>
      </c>
      <c r="K158" s="5" t="n">
        <f>(+(K145)+(K156))</f>
        <v>0.0</v>
      </c>
      <c r="L158" s="5" t="n">
        <f>(+(L145)+(L156))</f>
        <v>0.0</v>
      </c>
      <c r="M158" s="5" t="n">
        <f>(+(M145)+(M156))</f>
        <v>0.0</v>
      </c>
      <c r="N158" s="5" t="n">
        <f>(+(N145)+(N156))</f>
        <v>0.0</v>
      </c>
      <c r="O158" s="5" t="n">
        <f>(+(O145)+(O156))</f>
        <v>0.0</v>
      </c>
      <c r="P158" s="5" t="n">
        <f>(+(P145)+(P156))</f>
        <v>0.0</v>
      </c>
      <c r="Q158" s="5" t="n">
        <f>(+(Q145)+(Q156))</f>
        <v>0.0</v>
      </c>
      <c r="R158" s="5" t="n">
        <f>(+(R145)+(R156))</f>
        <v>0.0</v>
      </c>
      <c r="S158" s="5" t="n">
        <f>(+(S145)+(S156))</f>
        <v>0.0</v>
      </c>
      <c r="T158" s="5" t="n">
        <f>(+(T145)+(T156))</f>
        <v>0.0</v>
      </c>
      <c r="U158" s="5" t="n">
        <f>(+(U145)+(U156))</f>
        <v>0.0</v>
      </c>
      <c r="V158" s="5" t="n">
        <f>(+(V145)+(V156))</f>
        <v>0.0</v>
      </c>
      <c r="W158" s="5" t="n">
        <f>(+(W145)+(W156))</f>
        <v>0.0</v>
      </c>
      <c r="X158" s="5" t="n">
        <f>(+(X145)+(X156))</f>
        <v>0.0</v>
      </c>
      <c r="Y158" s="5" t="n">
        <f>(+(Y145)+(Y156))</f>
        <v>0.0</v>
      </c>
    </row>
    <row r="160">
      <c r="A160" s="7" t="inlineStr">
        <is>
          <t xml:space="preserve">          Assets depreciation - 8 - الاهلاكات و الاطفاءات</t>
        </is>
      </c>
      <c r="B160" s="7" t="inlineStr">
        <is>
          <t>8</t>
        </is>
      </c>
      <c r="C160" s="11" t="n">
        <v>0.0</v>
      </c>
      <c r="D160" s="11" t="n">
        <v>0.0</v>
      </c>
      <c r="E160" s="11" t="n">
        <v>0.0</v>
      </c>
      <c r="F160" s="11" t="n">
        <v>0.0</v>
      </c>
      <c r="G160" s="11" t="n">
        <v>0.0</v>
      </c>
      <c r="H160" s="11" t="n">
        <v>0.0</v>
      </c>
      <c r="I160" s="11" t="n">
        <v>0.0</v>
      </c>
      <c r="J160" s="11" t="n">
        <v>0.0</v>
      </c>
      <c r="K160" s="11" t="n">
        <v>0.0</v>
      </c>
      <c r="L160" s="11" t="n">
        <v>0.0</v>
      </c>
      <c r="M160" s="11" t="n">
        <v>0.0</v>
      </c>
      <c r="N160" s="11" t="n">
        <v>0.0</v>
      </c>
      <c r="O160" s="11" t="n">
        <v>0.0</v>
      </c>
      <c r="P160" s="11" t="n">
        <v>0.0</v>
      </c>
      <c r="Q160" s="11" t="n">
        <v>0.0</v>
      </c>
      <c r="R160" s="11" t="n">
        <v>0.0</v>
      </c>
      <c r="S160" s="11" t="n">
        <v>0.0</v>
      </c>
      <c r="T160" s="11" t="n">
        <v>0.0</v>
      </c>
      <c r="U160" s="11" t="n">
        <v>0.0</v>
      </c>
      <c r="V160" s="11" t="n">
        <v>0.0</v>
      </c>
      <c r="W160" s="11" t="n">
        <v>0.0</v>
      </c>
      <c r="X160" s="11" t="n">
        <v>0.0</v>
      </c>
      <c r="Y160" s="11" t="n">
        <v>0.0</v>
      </c>
    </row>
    <row r="161">
      <c r="A161" s="7" t="inlineStr">
        <is>
          <t xml:space="preserve">                    Depreciation of fixed assets - 81 - اهلاك الأصول الثابتة</t>
        </is>
      </c>
      <c r="B161" s="7" t="inlineStr">
        <is>
          <t>81</t>
        </is>
      </c>
      <c r="C161" s="11" t="n">
        <v>0.0</v>
      </c>
      <c r="D161" s="11" t="n">
        <v>0.0</v>
      </c>
      <c r="E161" s="11" t="n">
        <v>0.0</v>
      </c>
      <c r="F161" s="11" t="n">
        <v>0.0</v>
      </c>
      <c r="G161" s="11" t="n">
        <v>0.0</v>
      </c>
      <c r="H161" s="11" t="n">
        <v>0.0</v>
      </c>
      <c r="I161" s="11" t="n">
        <v>0.0</v>
      </c>
      <c r="J161" s="11" t="n">
        <v>0.0</v>
      </c>
      <c r="K161" s="11" t="n">
        <v>0.0</v>
      </c>
      <c r="L161" s="11" t="n">
        <v>0.0</v>
      </c>
      <c r="M161" s="11" t="n">
        <v>0.0</v>
      </c>
      <c r="N161" s="11" t="n">
        <v>0.0</v>
      </c>
      <c r="O161" s="11" t="n">
        <v>0.0</v>
      </c>
      <c r="P161" s="11" t="n">
        <v>0.0</v>
      </c>
      <c r="Q161" s="11" t="n">
        <v>0.0</v>
      </c>
      <c r="R161" s="11" t="n">
        <v>0.0</v>
      </c>
      <c r="S161" s="11" t="n">
        <v>0.0</v>
      </c>
      <c r="T161" s="11" t="n">
        <v>0.0</v>
      </c>
      <c r="U161" s="11" t="n">
        <v>0.0</v>
      </c>
      <c r="V161" s="11" t="n">
        <v>0.0</v>
      </c>
      <c r="W161" s="11" t="n">
        <v>0.0</v>
      </c>
      <c r="X161" s="11" t="n">
        <v>0.0</v>
      </c>
      <c r="Y161" s="11" t="n">
        <v>0.0</v>
      </c>
    </row>
    <row r="162">
      <c r="A162" s="7" t="inlineStr">
        <is>
          <t xml:space="preserve">                              Depreciation - Tools - 810005 - اهلاك عدد وادوات</t>
        </is>
      </c>
      <c r="B162" s="7" t="inlineStr">
        <is>
          <t>810005</t>
        </is>
      </c>
      <c r="C162" s="11" t="n">
        <v>1.0</v>
      </c>
      <c r="D162" s="11" t="n">
        <v>0.0</v>
      </c>
      <c r="E162" s="11" t="n">
        <v>1.0</v>
      </c>
      <c r="F162" s="11" t="n">
        <v>0.0</v>
      </c>
      <c r="G162" s="11" t="n">
        <v>0.0</v>
      </c>
      <c r="H162" s="11" t="n">
        <v>0.0</v>
      </c>
      <c r="I162" s="11" t="n">
        <v>0.0</v>
      </c>
      <c r="J162" s="11" t="n">
        <v>0.0</v>
      </c>
      <c r="K162" s="11" t="n">
        <v>0.0</v>
      </c>
      <c r="L162" s="11" t="n">
        <v>0.0</v>
      </c>
      <c r="M162" s="11" t="n">
        <v>0.0</v>
      </c>
      <c r="N162" s="11" t="n">
        <v>0.0</v>
      </c>
      <c r="O162" s="11" t="n">
        <v>0.0</v>
      </c>
      <c r="P162" s="11" t="n">
        <v>0.0</v>
      </c>
      <c r="Q162" s="11" t="n">
        <v>0.0</v>
      </c>
      <c r="R162" s="11" t="n">
        <v>0.0</v>
      </c>
      <c r="S162" s="11" t="n">
        <v>0.0</v>
      </c>
      <c r="T162" s="11" t="n">
        <v>0.0</v>
      </c>
      <c r="U162" s="11" t="n">
        <v>0.0</v>
      </c>
      <c r="V162" s="11" t="n">
        <v>0.0</v>
      </c>
      <c r="W162" s="11" t="n">
        <v>0.0</v>
      </c>
      <c r="X162" s="11" t="n">
        <v>0.0</v>
      </c>
      <c r="Y162" s="11" t="n">
        <v>0.0</v>
      </c>
    </row>
    <row r="163">
      <c r="A163" s="7" t="inlineStr">
        <is>
          <t xml:space="preserve">                              Depreciation - Electrical Devices - 810006 - اهلاك اجهزة كهربائية</t>
        </is>
      </c>
      <c r="B163" s="7" t="inlineStr">
        <is>
          <t>810006</t>
        </is>
      </c>
      <c r="C163" s="11" t="n">
        <v>282.88</v>
      </c>
      <c r="D163" s="11" t="n">
        <v>0.0</v>
      </c>
      <c r="E163" s="11" t="n">
        <v>282.88</v>
      </c>
      <c r="F163" s="11" t="n">
        <v>0.0</v>
      </c>
      <c r="G163" s="11" t="n">
        <v>0.0</v>
      </c>
      <c r="H163" s="11" t="n">
        <v>0.0</v>
      </c>
      <c r="I163" s="11" t="n">
        <v>0.0</v>
      </c>
      <c r="J163" s="11" t="n">
        <v>0.0</v>
      </c>
      <c r="K163" s="11" t="n">
        <v>0.0</v>
      </c>
      <c r="L163" s="11" t="n">
        <v>0.0</v>
      </c>
      <c r="M163" s="11" t="n">
        <v>0.0</v>
      </c>
      <c r="N163" s="11" t="n">
        <v>0.0</v>
      </c>
      <c r="O163" s="11" t="n">
        <v>0.0</v>
      </c>
      <c r="P163" s="11" t="n">
        <v>0.0</v>
      </c>
      <c r="Q163" s="11" t="n">
        <v>0.0</v>
      </c>
      <c r="R163" s="11" t="n">
        <v>0.0</v>
      </c>
      <c r="S163" s="11" t="n">
        <v>0.0</v>
      </c>
      <c r="T163" s="11" t="n">
        <v>0.0</v>
      </c>
      <c r="U163" s="11" t="n">
        <v>0.0</v>
      </c>
      <c r="V163" s="11" t="n">
        <v>0.0</v>
      </c>
      <c r="W163" s="11" t="n">
        <v>0.0</v>
      </c>
      <c r="X163" s="11" t="n">
        <v>0.0</v>
      </c>
      <c r="Y163" s="11" t="n">
        <v>0.0</v>
      </c>
    </row>
    <row r="164">
      <c r="A164" s="7" t="inlineStr">
        <is>
          <t xml:space="preserve">                              Depreciation - Computers - 810007 - اهلاك اجهزة حاسب الي</t>
        </is>
      </c>
      <c r="B164" s="7" t="inlineStr">
        <is>
          <t>810007</t>
        </is>
      </c>
      <c r="C164" s="11" t="n">
        <v>11527.0</v>
      </c>
      <c r="D164" s="11" t="n">
        <v>0.0</v>
      </c>
      <c r="E164" s="11" t="n">
        <v>11527.0</v>
      </c>
      <c r="F164" s="11" t="n">
        <v>0.0</v>
      </c>
      <c r="G164" s="11" t="n">
        <v>0.0</v>
      </c>
      <c r="H164" s="11" t="n">
        <v>0.0</v>
      </c>
      <c r="I164" s="11" t="n">
        <v>0.0</v>
      </c>
      <c r="J164" s="11" t="n">
        <v>0.0</v>
      </c>
      <c r="K164" s="11" t="n">
        <v>0.0</v>
      </c>
      <c r="L164" s="11" t="n">
        <v>0.0</v>
      </c>
      <c r="M164" s="11" t="n">
        <v>0.0</v>
      </c>
      <c r="N164" s="11" t="n">
        <v>0.0</v>
      </c>
      <c r="O164" s="11" t="n">
        <v>0.0</v>
      </c>
      <c r="P164" s="11" t="n">
        <v>0.0</v>
      </c>
      <c r="Q164" s="11" t="n">
        <v>0.0</v>
      </c>
      <c r="R164" s="11" t="n">
        <v>0.0</v>
      </c>
      <c r="S164" s="11" t="n">
        <v>0.0</v>
      </c>
      <c r="T164" s="11" t="n">
        <v>0.0</v>
      </c>
      <c r="U164" s="11" t="n">
        <v>0.0</v>
      </c>
      <c r="V164" s="11" t="n">
        <v>0.0</v>
      </c>
      <c r="W164" s="11" t="n">
        <v>0.0</v>
      </c>
      <c r="X164" s="11" t="n">
        <v>0.0</v>
      </c>
      <c r="Y164" s="11" t="n">
        <v>0.0</v>
      </c>
    </row>
    <row r="165">
      <c r="A165" s="7" t="inlineStr">
        <is>
          <t xml:space="preserve">                              Depreciation - Furniture - 810008 - اهلاك الاثاث والمفروشات</t>
        </is>
      </c>
      <c r="B165" s="7" t="inlineStr">
        <is>
          <t>810008</t>
        </is>
      </c>
      <c r="C165" s="11" t="n">
        <v>5076.6</v>
      </c>
      <c r="D165" s="11" t="n">
        <v>0.0</v>
      </c>
      <c r="E165" s="11" t="n">
        <v>5076.6</v>
      </c>
      <c r="F165" s="11" t="n">
        <v>0.0</v>
      </c>
      <c r="G165" s="11" t="n">
        <v>0.0</v>
      </c>
      <c r="H165" s="11" t="n">
        <v>0.0</v>
      </c>
      <c r="I165" s="11" t="n">
        <v>0.0</v>
      </c>
      <c r="J165" s="11" t="n">
        <v>0.0</v>
      </c>
      <c r="K165" s="11" t="n">
        <v>0.0</v>
      </c>
      <c r="L165" s="11" t="n">
        <v>0.0</v>
      </c>
      <c r="M165" s="11" t="n">
        <v>0.0</v>
      </c>
      <c r="N165" s="11" t="n">
        <v>0.0</v>
      </c>
      <c r="O165" s="11" t="n">
        <v>0.0</v>
      </c>
      <c r="P165" s="11" t="n">
        <v>0.0</v>
      </c>
      <c r="Q165" s="11" t="n">
        <v>0.0</v>
      </c>
      <c r="R165" s="11" t="n">
        <v>0.0</v>
      </c>
      <c r="S165" s="11" t="n">
        <v>0.0</v>
      </c>
      <c r="T165" s="11" t="n">
        <v>0.0</v>
      </c>
      <c r="U165" s="11" t="n">
        <v>0.0</v>
      </c>
      <c r="V165" s="11" t="n">
        <v>0.0</v>
      </c>
      <c r="W165" s="11" t="n">
        <v>0.0</v>
      </c>
      <c r="X165" s="11" t="n">
        <v>0.0</v>
      </c>
      <c r="Y165" s="11" t="n">
        <v>0.0</v>
      </c>
    </row>
    <row r="166">
      <c r="A166" s="7" t="inlineStr">
        <is>
          <t xml:space="preserve">                              Depreciation - Lease bulding Improvements - 810009 - اهلاك تحسينات مباني مستأجرة</t>
        </is>
      </c>
      <c r="B166" s="7" t="inlineStr">
        <is>
          <t>810009</t>
        </is>
      </c>
      <c r="C166" s="11" t="n">
        <v>718.02</v>
      </c>
      <c r="D166" s="11" t="n">
        <v>0.0</v>
      </c>
      <c r="E166" s="11" t="n">
        <v>718.02</v>
      </c>
      <c r="F166" s="11" t="n">
        <v>0.0</v>
      </c>
      <c r="G166" s="11" t="n">
        <v>0.0</v>
      </c>
      <c r="H166" s="11" t="n">
        <v>0.0</v>
      </c>
      <c r="I166" s="11" t="n">
        <v>0.0</v>
      </c>
      <c r="J166" s="11" t="n">
        <v>0.0</v>
      </c>
      <c r="K166" s="11" t="n">
        <v>0.0</v>
      </c>
      <c r="L166" s="11" t="n">
        <v>0.0</v>
      </c>
      <c r="M166" s="11" t="n">
        <v>0.0</v>
      </c>
      <c r="N166" s="11" t="n">
        <v>0.0</v>
      </c>
      <c r="O166" s="11" t="n">
        <v>0.0</v>
      </c>
      <c r="P166" s="11" t="n">
        <v>0.0</v>
      </c>
      <c r="Q166" s="11" t="n">
        <v>0.0</v>
      </c>
      <c r="R166" s="11" t="n">
        <v>0.0</v>
      </c>
      <c r="S166" s="11" t="n">
        <v>0.0</v>
      </c>
      <c r="T166" s="11" t="n">
        <v>0.0</v>
      </c>
      <c r="U166" s="11" t="n">
        <v>0.0</v>
      </c>
      <c r="V166" s="11" t="n">
        <v>0.0</v>
      </c>
      <c r="W166" s="11" t="n">
        <v>0.0</v>
      </c>
      <c r="X166" s="11" t="n">
        <v>0.0</v>
      </c>
      <c r="Y166" s="11" t="n">
        <v>0.0</v>
      </c>
    </row>
    <row r="167">
      <c r="A167" s="26" t="inlineStr">
        <is>
          <t xml:space="preserve">                    Total for Depreciation of fixed assets - 81 - اهلاك الأصول الثابتة</t>
        </is>
      </c>
      <c r="B167" t="inlineStr">
        <is>
          <t>81</t>
        </is>
      </c>
      <c r="C167" s="5" t="n">
        <f>(+(C161)+(C162)+(C163)+(C164)+(C165)+(C166))</f>
        <v>0.0</v>
      </c>
      <c r="D167" s="5" t="n">
        <f>(+(D161)+(D162)+(D163)+(D164)+(D165)+(D166))</f>
        <v>0.0</v>
      </c>
      <c r="E167" s="5" t="n">
        <f>(+(E161)+(E162)+(E163)+(E164)+(E165)+(E166))</f>
        <v>0.0</v>
      </c>
      <c r="F167" s="5" t="n">
        <f>(+(F161)+(F162)+(F163)+(F164)+(F165)+(F166))</f>
        <v>0.0</v>
      </c>
      <c r="G167" s="5" t="n">
        <f>(+(G161)+(G162)+(G163)+(G164)+(G165)+(G166))</f>
        <v>0.0</v>
      </c>
      <c r="H167" s="5" t="n">
        <f>(+(H161)+(H162)+(H163)+(H164)+(H165)+(H166))</f>
        <v>0.0</v>
      </c>
      <c r="I167" s="5" t="n">
        <f>(+(I161)+(I162)+(I163)+(I164)+(I165)+(I166))</f>
        <v>0.0</v>
      </c>
      <c r="J167" s="5" t="n">
        <f>(+(J161)+(J162)+(J163)+(J164)+(J165)+(J166))</f>
        <v>0.0</v>
      </c>
      <c r="K167" s="5" t="n">
        <f>(+(K161)+(K162)+(K163)+(K164)+(K165)+(K166))</f>
        <v>0.0</v>
      </c>
      <c r="L167" s="5" t="n">
        <f>(+(L161)+(L162)+(L163)+(L164)+(L165)+(L166))</f>
        <v>0.0</v>
      </c>
      <c r="M167" s="5" t="n">
        <f>(+(M161)+(M162)+(M163)+(M164)+(M165)+(M166))</f>
        <v>0.0</v>
      </c>
      <c r="N167" s="5" t="n">
        <f>(+(N161)+(N162)+(N163)+(N164)+(N165)+(N166))</f>
        <v>0.0</v>
      </c>
      <c r="O167" s="5" t="n">
        <f>(+(O161)+(O162)+(O163)+(O164)+(O165)+(O166))</f>
        <v>0.0</v>
      </c>
      <c r="P167" s="5" t="n">
        <f>(+(P161)+(P162)+(P163)+(P164)+(P165)+(P166))</f>
        <v>0.0</v>
      </c>
      <c r="Q167" s="5" t="n">
        <f>(+(Q161)+(Q162)+(Q163)+(Q164)+(Q165)+(Q166))</f>
        <v>0.0</v>
      </c>
      <c r="R167" s="5" t="n">
        <f>(+(R161)+(R162)+(R163)+(R164)+(R165)+(R166))</f>
        <v>0.0</v>
      </c>
      <c r="S167" s="5" t="n">
        <f>(+(S161)+(S162)+(S163)+(S164)+(S165)+(S166))</f>
        <v>0.0</v>
      </c>
      <c r="T167" s="5" t="n">
        <f>(+(T161)+(T162)+(T163)+(T164)+(T165)+(T166))</f>
        <v>0.0</v>
      </c>
      <c r="U167" s="5" t="n">
        <f>(+(U161)+(U162)+(U163)+(U164)+(U165)+(U166))</f>
        <v>0.0</v>
      </c>
      <c r="V167" s="5" t="n">
        <f>(+(V161)+(V162)+(V163)+(V164)+(V165)+(V166))</f>
        <v>0.0</v>
      </c>
      <c r="W167" s="5" t="n">
        <f>(+(W161)+(W162)+(W163)+(W164)+(W165)+(W166))</f>
        <v>0.0</v>
      </c>
      <c r="X167" s="5" t="n">
        <f>(+(X161)+(X162)+(X163)+(X164)+(X165)+(X166))</f>
        <v>0.0</v>
      </c>
      <c r="Y167" s="5" t="n">
        <f>(+(Y161)+(Y162)+(Y163)+(Y164)+(Y165)+(Y166))</f>
        <v>0.0</v>
      </c>
    </row>
    <row r="169">
      <c r="A169" s="26" t="inlineStr">
        <is>
          <t xml:space="preserve">          Total for Assets depreciation - 8 - الاهلاكات و الاطفاءات</t>
        </is>
      </c>
      <c r="B169" t="inlineStr">
        <is>
          <t>8</t>
        </is>
      </c>
      <c r="C169" s="5" t="n">
        <f>(+(C160)+(C167))</f>
        <v>0.0</v>
      </c>
      <c r="D169" s="5" t="n">
        <f>(+(D160)+(D167))</f>
        <v>0.0</v>
      </c>
      <c r="E169" s="5" t="n">
        <f>(+(E160)+(E167))</f>
        <v>0.0</v>
      </c>
      <c r="F169" s="5" t="n">
        <f>(+(F160)+(F167))</f>
        <v>0.0</v>
      </c>
      <c r="G169" s="5" t="n">
        <f>(+(G160)+(G167))</f>
        <v>0.0</v>
      </c>
      <c r="H169" s="5" t="n">
        <f>(+(H160)+(H167))</f>
        <v>0.0</v>
      </c>
      <c r="I169" s="5" t="n">
        <f>(+(I160)+(I167))</f>
        <v>0.0</v>
      </c>
      <c r="J169" s="5" t="n">
        <f>(+(J160)+(J167))</f>
        <v>0.0</v>
      </c>
      <c r="K169" s="5" t="n">
        <f>(+(K160)+(K167))</f>
        <v>0.0</v>
      </c>
      <c r="L169" s="5" t="n">
        <f>(+(L160)+(L167))</f>
        <v>0.0</v>
      </c>
      <c r="M169" s="5" t="n">
        <f>(+(M160)+(M167))</f>
        <v>0.0</v>
      </c>
      <c r="N169" s="5" t="n">
        <f>(+(N160)+(N167))</f>
        <v>0.0</v>
      </c>
      <c r="O169" s="5" t="n">
        <f>(+(O160)+(O167))</f>
        <v>0.0</v>
      </c>
      <c r="P169" s="5" t="n">
        <f>(+(P160)+(P167))</f>
        <v>0.0</v>
      </c>
      <c r="Q169" s="5" t="n">
        <f>(+(Q160)+(Q167))</f>
        <v>0.0</v>
      </c>
      <c r="R169" s="5" t="n">
        <f>(+(R160)+(R167))</f>
        <v>0.0</v>
      </c>
      <c r="S169" s="5" t="n">
        <f>(+(S160)+(S167))</f>
        <v>0.0</v>
      </c>
      <c r="T169" s="5" t="n">
        <f>(+(T160)+(T167))</f>
        <v>0.0</v>
      </c>
      <c r="U169" s="5" t="n">
        <f>(+(U160)+(U167))</f>
        <v>0.0</v>
      </c>
      <c r="V169" s="5" t="n">
        <f>(+(V160)+(V167))</f>
        <v>0.0</v>
      </c>
      <c r="W169" s="5" t="n">
        <f>(+(W160)+(W167))</f>
        <v>0.0</v>
      </c>
      <c r="X169" s="5" t="n">
        <f>(+(X160)+(X167))</f>
        <v>0.0</v>
      </c>
      <c r="Y169" s="5" t="n">
        <f>(+(Y160)+(Y167))</f>
        <v>0.0</v>
      </c>
    </row>
    <row r="171">
      <c r="A171" s="26" t="inlineStr">
        <is>
          <t>Total for Operating Expense</t>
        </is>
      </c>
      <c r="B171" t="inlineStr">
        <is>
          <t/>
        </is>
      </c>
      <c r="C171" s="5" t="n">
        <f>(+(C88)+(C143)+(C158)+(C169))</f>
        <v>0.0</v>
      </c>
      <c r="D171" s="5" t="n">
        <f>(+(D88)+(D143)+(D158)+(D169))</f>
        <v>0.0</v>
      </c>
      <c r="E171" s="5" t="n">
        <f>(+(E88)+(E143)+(E158)+(E169))</f>
        <v>0.0</v>
      </c>
      <c r="F171" s="5" t="n">
        <f>(+(F88)+(F143)+(F158)+(F169))</f>
        <v>0.0</v>
      </c>
      <c r="G171" s="5" t="n">
        <f>(+(G88)+(G143)+(G158)+(G169))</f>
        <v>0.0</v>
      </c>
      <c r="H171" s="5" t="n">
        <f>(+(H88)+(H143)+(H158)+(H169))</f>
        <v>0.0</v>
      </c>
      <c r="I171" s="5" t="n">
        <f>(+(I88)+(I143)+(I158)+(I169))</f>
        <v>0.0</v>
      </c>
      <c r="J171" s="5" t="n">
        <f>(+(J88)+(J143)+(J158)+(J169))</f>
        <v>0.0</v>
      </c>
      <c r="K171" s="5" t="n">
        <f>(+(K88)+(K143)+(K158)+(K169))</f>
        <v>0.0</v>
      </c>
      <c r="L171" s="5" t="n">
        <f>(+(L88)+(L143)+(L158)+(L169))</f>
        <v>0.0</v>
      </c>
      <c r="M171" s="5" t="n">
        <f>(+(M88)+(M143)+(M158)+(M169))</f>
        <v>0.0</v>
      </c>
      <c r="N171" s="5" t="n">
        <f>(+(N88)+(N143)+(N158)+(N169))</f>
        <v>0.0</v>
      </c>
      <c r="O171" s="5" t="n">
        <f>(+(O88)+(O143)+(O158)+(O169))</f>
        <v>0.0</v>
      </c>
      <c r="P171" s="5" t="n">
        <f>(+(P88)+(P143)+(P158)+(P169))</f>
        <v>0.0</v>
      </c>
      <c r="Q171" s="5" t="n">
        <f>(+(Q88)+(Q143)+(Q158)+(Q169))</f>
        <v>0.0</v>
      </c>
      <c r="R171" s="5" t="n">
        <f>(+(R88)+(R143)+(R158)+(R169))</f>
        <v>0.0</v>
      </c>
      <c r="S171" s="5" t="n">
        <f>(+(S88)+(S143)+(S158)+(S169))</f>
        <v>0.0</v>
      </c>
      <c r="T171" s="5" t="n">
        <f>(+(T88)+(T143)+(T158)+(T169))</f>
        <v>0.0</v>
      </c>
      <c r="U171" s="5" t="n">
        <f>(+(U88)+(U143)+(U158)+(U169))</f>
        <v>0.0</v>
      </c>
      <c r="V171" s="5" t="n">
        <f>(+(V88)+(V143)+(V158)+(V169))</f>
        <v>0.0</v>
      </c>
      <c r="W171" s="5" t="n">
        <f>(+(W88)+(W143)+(W158)+(W169))</f>
        <v>0.0</v>
      </c>
      <c r="X171" s="5" t="n">
        <f>(+(X88)+(X143)+(X158)+(X169))</f>
        <v>0.0</v>
      </c>
      <c r="Y171" s="5" t="n">
        <f>(+(Y88)+(Y143)+(Y158)+(Y169))</f>
        <v>0.0</v>
      </c>
    </row>
    <row r="173">
      <c r="A173" s="5" t="inlineStr">
        <is>
          <t>Operating Profit</t>
        </is>
      </c>
      <c r="B173" t="inlineStr">
        <is>
          <t/>
        </is>
      </c>
      <c r="C173" s="5" t="n">
        <f>(((+(C11))-(+(C81)))-(+(C88)+(C143)+(C158)+(C169)))</f>
        <v>0.0</v>
      </c>
      <c r="D173" s="5" t="n">
        <f>(((+(D11))-(+(D81)))-(+(D88)+(D143)+(D158)+(D169)))</f>
        <v>0.0</v>
      </c>
      <c r="E173" s="5" t="n">
        <f>(((+(E11))-(+(E81)))-(+(E88)+(E143)+(E158)+(E169)))</f>
        <v>0.0</v>
      </c>
      <c r="F173" s="5" t="n">
        <f>(((+(F11))-(+(F81)))-(+(F88)+(F143)+(F158)+(F169)))</f>
        <v>0.0</v>
      </c>
      <c r="G173" s="5" t="n">
        <f>(((+(G11))-(+(G81)))-(+(G88)+(G143)+(G158)+(G169)))</f>
        <v>0.0</v>
      </c>
      <c r="H173" s="5" t="n">
        <f>(((+(H11))-(+(H81)))-(+(H88)+(H143)+(H158)+(H169)))</f>
        <v>0.0</v>
      </c>
      <c r="I173" s="5" t="n">
        <f>(((+(I11))-(+(I81)))-(+(I88)+(I143)+(I158)+(I169)))</f>
        <v>0.0</v>
      </c>
      <c r="J173" s="5" t="n">
        <f>(((+(J11))-(+(J81)))-(+(J88)+(J143)+(J158)+(J169)))</f>
        <v>0.0</v>
      </c>
      <c r="K173" s="5" t="n">
        <f>(((+(K11))-(+(K81)))-(+(K88)+(K143)+(K158)+(K169)))</f>
        <v>0.0</v>
      </c>
      <c r="L173" s="5" t="n">
        <f>(((+(L11))-(+(L81)))-(+(L88)+(L143)+(L158)+(L169)))</f>
        <v>0.0</v>
      </c>
      <c r="M173" s="5" t="n">
        <f>(((+(M11))-(+(M81)))-(+(M88)+(M143)+(M158)+(M169)))</f>
        <v>0.0</v>
      </c>
      <c r="N173" s="5" t="n">
        <f>(((+(N11))-(+(N81)))-(+(N88)+(N143)+(N158)+(N169)))</f>
        <v>0.0</v>
      </c>
      <c r="O173" s="5" t="n">
        <f>(((+(O11))-(+(O81)))-(+(O88)+(O143)+(O158)+(O169)))</f>
        <v>0.0</v>
      </c>
      <c r="P173" s="5" t="n">
        <f>(((+(P11))-(+(P81)))-(+(P88)+(P143)+(P158)+(P169)))</f>
        <v>0.0</v>
      </c>
      <c r="Q173" s="5" t="n">
        <f>(((+(Q11))-(+(Q81)))-(+(Q88)+(Q143)+(Q158)+(Q169)))</f>
        <v>0.0</v>
      </c>
      <c r="R173" s="5" t="n">
        <f>(((+(R11))-(+(R81)))-(+(R88)+(R143)+(R158)+(R169)))</f>
        <v>0.0</v>
      </c>
      <c r="S173" s="5" t="n">
        <f>(((+(S11))-(+(S81)))-(+(S88)+(S143)+(S158)+(S169)))</f>
        <v>0.0</v>
      </c>
      <c r="T173" s="5" t="n">
        <f>(((+(T11))-(+(T81)))-(+(T88)+(T143)+(T158)+(T169)))</f>
        <v>0.0</v>
      </c>
      <c r="U173" s="5" t="n">
        <f>(((+(U11))-(+(U81)))-(+(U88)+(U143)+(U158)+(U169)))</f>
        <v>0.0</v>
      </c>
      <c r="V173" s="5" t="n">
        <f>(((+(V11))-(+(V81)))-(+(V88)+(V143)+(V158)+(V169)))</f>
        <v>0.0</v>
      </c>
      <c r="W173" s="5" t="n">
        <f>(((+(W11))-(+(W81)))-(+(W88)+(W143)+(W158)+(W169)))</f>
        <v>0.0</v>
      </c>
      <c r="X173" s="5" t="n">
        <f>(((+(X11))-(+(X81)))-(+(X88)+(X143)+(X158)+(X169)))</f>
        <v>0.0</v>
      </c>
      <c r="Y173" s="5" t="n">
        <f>(((+(Y11))-(+(Y81)))-(+(Y88)+(Y143)+(Y158)+(Y169)))</f>
        <v>0.0</v>
      </c>
    </row>
    <row r="175">
      <c r="A175" s="7" t="inlineStr">
        <is>
          <t>Non Operating Income</t>
        </is>
      </c>
      <c r="B175" s="7" t="inlineStr">
        <is>
          <t/>
        </is>
      </c>
      <c r="C175" t="inlineStr">
        <is>
          <t/>
        </is>
      </c>
      <c r="D175" t="inlineStr">
        <is>
          <t/>
        </is>
      </c>
      <c r="E175" t="inlineStr">
        <is>
          <t/>
        </is>
      </c>
      <c r="F175" t="inlineStr">
        <is>
          <t/>
        </is>
      </c>
      <c r="G175" t="inlineStr">
        <is>
          <t/>
        </is>
      </c>
      <c r="H175" t="inlineStr">
        <is>
          <t/>
        </is>
      </c>
      <c r="I175" t="inlineStr">
        <is>
          <t/>
        </is>
      </c>
      <c r="J175" t="inlineStr">
        <is>
          <t/>
        </is>
      </c>
      <c r="K175" t="inlineStr">
        <is>
          <t/>
        </is>
      </c>
      <c r="L175" t="inlineStr">
        <is>
          <t/>
        </is>
      </c>
      <c r="M175" t="inlineStr">
        <is>
          <t/>
        </is>
      </c>
      <c r="N175" t="inlineStr">
        <is>
          <t/>
        </is>
      </c>
      <c r="O175" t="inlineStr">
        <is>
          <t/>
        </is>
      </c>
      <c r="P175" t="inlineStr">
        <is>
          <t/>
        </is>
      </c>
      <c r="Q175" t="inlineStr">
        <is>
          <t/>
        </is>
      </c>
      <c r="R175" t="inlineStr">
        <is>
          <t/>
        </is>
      </c>
      <c r="S175" t="inlineStr">
        <is>
          <t/>
        </is>
      </c>
      <c r="T175" t="inlineStr">
        <is>
          <t/>
        </is>
      </c>
      <c r="U175" t="inlineStr">
        <is>
          <t/>
        </is>
      </c>
      <c r="V175" t="inlineStr">
        <is>
          <t/>
        </is>
      </c>
      <c r="W175" t="inlineStr">
        <is>
          <t/>
        </is>
      </c>
      <c r="X175" t="inlineStr">
        <is>
          <t/>
        </is>
      </c>
      <c r="Y175" t="inlineStr">
        <is>
          <t/>
        </is>
      </c>
    </row>
    <row r="176">
      <c r="A176" s="26" t="inlineStr">
        <is>
          <t>Total for Non Operating Income</t>
        </is>
      </c>
      <c r="B176" t="inlineStr">
        <is>
          <t/>
        </is>
      </c>
      <c r="C176" s="5" t="n">
        <v>0.0</v>
      </c>
      <c r="D176" s="5" t="n">
        <v>0.0</v>
      </c>
      <c r="E176" s="5" t="n">
        <v>0.0</v>
      </c>
      <c r="F176" s="5" t="n">
        <v>0.0</v>
      </c>
      <c r="G176" s="5" t="n">
        <v>0.0</v>
      </c>
      <c r="H176" s="5" t="n">
        <v>0.0</v>
      </c>
      <c r="I176" s="5" t="n">
        <v>0.0</v>
      </c>
      <c r="J176" s="5" t="n">
        <v>0.0</v>
      </c>
      <c r="K176" s="5" t="n">
        <v>0.0</v>
      </c>
      <c r="L176" s="5" t="n">
        <v>0.0</v>
      </c>
      <c r="M176" s="5" t="n">
        <v>0.0</v>
      </c>
      <c r="N176" s="5" t="n">
        <v>0.0</v>
      </c>
      <c r="O176" s="5" t="n">
        <v>0.0</v>
      </c>
      <c r="P176" s="5" t="n">
        <v>0.0</v>
      </c>
      <c r="Q176" s="5" t="n">
        <v>0.0</v>
      </c>
      <c r="R176" s="5" t="n">
        <v>0.0</v>
      </c>
      <c r="S176" s="5" t="n">
        <v>0.0</v>
      </c>
      <c r="T176" s="5" t="n">
        <v>0.0</v>
      </c>
      <c r="U176" s="5" t="n">
        <v>0.0</v>
      </c>
      <c r="V176" s="5" t="n">
        <v>0.0</v>
      </c>
      <c r="W176" s="5" t="n">
        <v>0.0</v>
      </c>
      <c r="X176" s="5" t="n">
        <v>0.0</v>
      </c>
      <c r="Y176" s="5" t="n">
        <v>0.0</v>
      </c>
    </row>
    <row r="178">
      <c r="A178" s="7" t="inlineStr">
        <is>
          <t>Non Operating Expense</t>
        </is>
      </c>
      <c r="B178" s="7" t="inlineStr">
        <is>
          <t/>
        </is>
      </c>
      <c r="C178" t="inlineStr">
        <is>
          <t/>
        </is>
      </c>
      <c r="D178" t="inlineStr">
        <is>
          <t/>
        </is>
      </c>
      <c r="E178" t="inlineStr">
        <is>
          <t/>
        </is>
      </c>
      <c r="F178" t="inlineStr">
        <is>
          <t/>
        </is>
      </c>
      <c r="G178" t="inlineStr">
        <is>
          <t/>
        </is>
      </c>
      <c r="H178" t="inlineStr">
        <is>
          <t/>
        </is>
      </c>
      <c r="I178" t="inlineStr">
        <is>
          <t/>
        </is>
      </c>
      <c r="J178" t="inlineStr">
        <is>
          <t/>
        </is>
      </c>
      <c r="K178" t="inlineStr">
        <is>
          <t/>
        </is>
      </c>
      <c r="L178" t="inlineStr">
        <is>
          <t/>
        </is>
      </c>
      <c r="M178" t="inlineStr">
        <is>
          <t/>
        </is>
      </c>
      <c r="N178" t="inlineStr">
        <is>
          <t/>
        </is>
      </c>
      <c r="O178" t="inlineStr">
        <is>
          <t/>
        </is>
      </c>
      <c r="P178" t="inlineStr">
        <is>
          <t/>
        </is>
      </c>
      <c r="Q178" t="inlineStr">
        <is>
          <t/>
        </is>
      </c>
      <c r="R178" t="inlineStr">
        <is>
          <t/>
        </is>
      </c>
      <c r="S178" t="inlineStr">
        <is>
          <t/>
        </is>
      </c>
      <c r="T178" t="inlineStr">
        <is>
          <t/>
        </is>
      </c>
      <c r="U178" t="inlineStr">
        <is>
          <t/>
        </is>
      </c>
      <c r="V178" t="inlineStr">
        <is>
          <t/>
        </is>
      </c>
      <c r="W178" t="inlineStr">
        <is>
          <t/>
        </is>
      </c>
      <c r="X178" t="inlineStr">
        <is>
          <t/>
        </is>
      </c>
      <c r="Y178" t="inlineStr">
        <is>
          <t/>
        </is>
      </c>
    </row>
    <row r="179">
      <c r="A179" s="26" t="inlineStr">
        <is>
          <t>Total for Non Operating Expense</t>
        </is>
      </c>
      <c r="B179" t="inlineStr">
        <is>
          <t/>
        </is>
      </c>
      <c r="C179" s="5" t="n">
        <v>0.0</v>
      </c>
      <c r="D179" s="5" t="n">
        <v>0.0</v>
      </c>
      <c r="E179" s="5" t="n">
        <v>0.0</v>
      </c>
      <c r="F179" s="5" t="n">
        <v>0.0</v>
      </c>
      <c r="G179" s="5" t="n">
        <v>0.0</v>
      </c>
      <c r="H179" s="5" t="n">
        <v>0.0</v>
      </c>
      <c r="I179" s="5" t="n">
        <v>0.0</v>
      </c>
      <c r="J179" s="5" t="n">
        <v>0.0</v>
      </c>
      <c r="K179" s="5" t="n">
        <v>0.0</v>
      </c>
      <c r="L179" s="5" t="n">
        <v>0.0</v>
      </c>
      <c r="M179" s="5" t="n">
        <v>0.0</v>
      </c>
      <c r="N179" s="5" t="n">
        <v>0.0</v>
      </c>
      <c r="O179" s="5" t="n">
        <v>0.0</v>
      </c>
      <c r="P179" s="5" t="n">
        <v>0.0</v>
      </c>
      <c r="Q179" s="5" t="n">
        <v>0.0</v>
      </c>
      <c r="R179" s="5" t="n">
        <v>0.0</v>
      </c>
      <c r="S179" s="5" t="n">
        <v>0.0</v>
      </c>
      <c r="T179" s="5" t="n">
        <v>0.0</v>
      </c>
      <c r="U179" s="5" t="n">
        <v>0.0</v>
      </c>
      <c r="V179" s="5" t="n">
        <v>0.0</v>
      </c>
      <c r="W179" s="5" t="n">
        <v>0.0</v>
      </c>
      <c r="X179" s="5" t="n">
        <v>0.0</v>
      </c>
      <c r="Y179" s="5" t="n">
        <v>0.0</v>
      </c>
    </row>
    <row r="181">
      <c r="A181" s="5" t="inlineStr">
        <is>
          <t>Net Profit/Loss</t>
        </is>
      </c>
      <c r="B181" t="inlineStr">
        <is>
          <t/>
        </is>
      </c>
      <c r="C181" s="5" t="n">
        <f>((((+(C11))-(+(C81)))-(+(C88)+(C143)+(C158)+(C169)))+C176-C179)</f>
        <v>0.0</v>
      </c>
      <c r="D181" s="5" t="n">
        <f>((((+(D11))-(+(D81)))-(+(D88)+(D143)+(D158)+(D169)))+D176-D179)</f>
        <v>0.0</v>
      </c>
      <c r="E181" s="5" t="n">
        <f>((((+(E11))-(+(E81)))-(+(E88)+(E143)+(E158)+(E169)))+E176-E179)</f>
        <v>0.0</v>
      </c>
      <c r="F181" s="5" t="n">
        <f>((((+(F11))-(+(F81)))-(+(F88)+(F143)+(F158)+(F169)))+F176-F179)</f>
        <v>0.0</v>
      </c>
      <c r="G181" s="5" t="n">
        <f>((((+(G11))-(+(G81)))-(+(G88)+(G143)+(G158)+(G169)))+G176-G179)</f>
        <v>0.0</v>
      </c>
      <c r="H181" s="5" t="n">
        <f>((((+(H11))-(+(H81)))-(+(H88)+(H143)+(H158)+(H169)))+H176-H179)</f>
        <v>0.0</v>
      </c>
      <c r="I181" s="5" t="n">
        <f>((((+(I11))-(+(I81)))-(+(I88)+(I143)+(I158)+(I169)))+I176-I179)</f>
        <v>0.0</v>
      </c>
      <c r="J181" s="5" t="n">
        <f>((((+(J11))-(+(J81)))-(+(J88)+(J143)+(J158)+(J169)))+J176-J179)</f>
        <v>0.0</v>
      </c>
      <c r="K181" s="5" t="n">
        <f>((((+(K11))-(+(K81)))-(+(K88)+(K143)+(K158)+(K169)))+K176-K179)</f>
        <v>0.0</v>
      </c>
      <c r="L181" s="5" t="n">
        <f>((((+(L11))-(+(L81)))-(+(L88)+(L143)+(L158)+(L169)))+L176-L179)</f>
        <v>0.0</v>
      </c>
      <c r="M181" s="5" t="n">
        <f>((((+(M11))-(+(M81)))-(+(M88)+(M143)+(M158)+(M169)))+M176-M179)</f>
        <v>0.0</v>
      </c>
      <c r="N181" s="5" t="n">
        <f>((((+(N11))-(+(N81)))-(+(N88)+(N143)+(N158)+(N169)))+N176-N179)</f>
        <v>0.0</v>
      </c>
      <c r="O181" s="5" t="n">
        <f>((((+(O11))-(+(O81)))-(+(O88)+(O143)+(O158)+(O169)))+O176-O179)</f>
        <v>0.0</v>
      </c>
      <c r="P181" s="5" t="n">
        <f>((((+(P11))-(+(P81)))-(+(P88)+(P143)+(P158)+(P169)))+P176-P179)</f>
        <v>0.0</v>
      </c>
      <c r="Q181" s="5" t="n">
        <f>((((+(Q11))-(+(Q81)))-(+(Q88)+(Q143)+(Q158)+(Q169)))+Q176-Q179)</f>
        <v>0.0</v>
      </c>
      <c r="R181" s="5" t="n">
        <f>((((+(R11))-(+(R81)))-(+(R88)+(R143)+(R158)+(R169)))+R176-R179)</f>
        <v>0.0</v>
      </c>
      <c r="S181" s="5" t="n">
        <f>((((+(S11))-(+(S81)))-(+(S88)+(S143)+(S158)+(S169)))+S176-S179)</f>
        <v>0.0</v>
      </c>
      <c r="T181" s="5" t="n">
        <f>((((+(T11))-(+(T81)))-(+(T88)+(T143)+(T158)+(T169)))+T176-T179)</f>
        <v>0.0</v>
      </c>
      <c r="U181" s="5" t="n">
        <f>((((+(U11))-(+(U81)))-(+(U88)+(U143)+(U158)+(U169)))+U176-U179)</f>
        <v>0.0</v>
      </c>
      <c r="V181" s="5" t="n">
        <f>((((+(V11))-(+(V81)))-(+(V88)+(V143)+(V158)+(V169)))+V176-V179)</f>
        <v>0.0</v>
      </c>
      <c r="W181" s="5" t="n">
        <f>((((+(W11))-(+(W81)))-(+(W88)+(W143)+(W158)+(W169)))+W176-W179)</f>
        <v>0.0</v>
      </c>
      <c r="X181" s="5" t="n">
        <f>((((+(X11))-(+(X81)))-(+(X88)+(X143)+(X158)+(X169)))+X176-X179)</f>
        <v>0.0</v>
      </c>
      <c r="Y181" s="5" t="n">
        <f>((((+(Y11))-(+(Y81)))-(+(Y88)+(Y143)+(Y158)+(Y169)))+Y176-Y179)</f>
        <v>0.0</v>
      </c>
    </row>
    <row r="182">
      <c r="A182" s="13" t="inlineStr">
        <is>
          <t/>
        </is>
      </c>
    </row>
  </sheetData>
  <mergeCells count="10">
    <mergeCell ref="A1:Y1"/>
    <mergeCell ref="A2:B2"/>
    <mergeCell ref="D2:Y2"/>
    <mergeCell ref="A3:B3"/>
    <mergeCell ref="C6:Y6"/>
    <mergeCell ref="C15:Y15"/>
    <mergeCell ref="C87:Y87"/>
    <mergeCell ref="C175:Y175"/>
    <mergeCell ref="C178:Y178"/>
    <mergeCell ref="A182:Y182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2025-11-06T08:48:32Z</dcterms:created>
  <dc:creator>Apache POI</dc:creator>
</cp:coreProperties>
</file>