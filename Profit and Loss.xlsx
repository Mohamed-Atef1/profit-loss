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 Folder\excel\"/>
    </mc:Choice>
  </mc:AlternateContent>
  <xr:revisionPtr revIDLastSave="0" documentId="13_ncr:1_{405DFDD4-E4B7-4B2E-9E7F-32097A66AB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fit_and_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9" i="1" l="1"/>
  <c r="Y167" i="1"/>
  <c r="Y169" i="1" s="1"/>
  <c r="X167" i="1"/>
  <c r="X169" i="1" s="1"/>
  <c r="W167" i="1"/>
  <c r="W169" i="1" s="1"/>
  <c r="V167" i="1"/>
  <c r="V169" i="1" s="1"/>
  <c r="U167" i="1"/>
  <c r="U169" i="1" s="1"/>
  <c r="T167" i="1"/>
  <c r="T169" i="1" s="1"/>
  <c r="S167" i="1"/>
  <c r="S169" i="1" s="1"/>
  <c r="R167" i="1"/>
  <c r="R169" i="1" s="1"/>
  <c r="Q167" i="1"/>
  <c r="Q169" i="1" s="1"/>
  <c r="P167" i="1"/>
  <c r="O167" i="1"/>
  <c r="O169" i="1" s="1"/>
  <c r="N167" i="1"/>
  <c r="N169" i="1" s="1"/>
  <c r="M167" i="1"/>
  <c r="M169" i="1" s="1"/>
  <c r="L167" i="1"/>
  <c r="L169" i="1" s="1"/>
  <c r="K167" i="1"/>
  <c r="K169" i="1" s="1"/>
  <c r="J167" i="1"/>
  <c r="J169" i="1" s="1"/>
  <c r="I167" i="1"/>
  <c r="I169" i="1" s="1"/>
  <c r="H167" i="1"/>
  <c r="H169" i="1" s="1"/>
  <c r="G167" i="1"/>
  <c r="G169" i="1" s="1"/>
  <c r="F167" i="1"/>
  <c r="F169" i="1" s="1"/>
  <c r="E167" i="1"/>
  <c r="E169" i="1" s="1"/>
  <c r="D167" i="1"/>
  <c r="D169" i="1" s="1"/>
  <c r="C167" i="1"/>
  <c r="C169" i="1" s="1"/>
  <c r="P158" i="1"/>
  <c r="N158" i="1"/>
  <c r="Y156" i="1"/>
  <c r="Y158" i="1" s="1"/>
  <c r="X156" i="1"/>
  <c r="X158" i="1" s="1"/>
  <c r="W156" i="1"/>
  <c r="W158" i="1" s="1"/>
  <c r="V156" i="1"/>
  <c r="V158" i="1" s="1"/>
  <c r="U156" i="1"/>
  <c r="U158" i="1" s="1"/>
  <c r="T156" i="1"/>
  <c r="T158" i="1" s="1"/>
  <c r="S156" i="1"/>
  <c r="S158" i="1" s="1"/>
  <c r="R156" i="1"/>
  <c r="R158" i="1" s="1"/>
  <c r="Q156" i="1"/>
  <c r="Q158" i="1" s="1"/>
  <c r="P156" i="1"/>
  <c r="O156" i="1"/>
  <c r="O158" i="1" s="1"/>
  <c r="N156" i="1"/>
  <c r="M156" i="1"/>
  <c r="M158" i="1" s="1"/>
  <c r="L156" i="1"/>
  <c r="L158" i="1" s="1"/>
  <c r="K156" i="1"/>
  <c r="K158" i="1" s="1"/>
  <c r="J156" i="1"/>
  <c r="J158" i="1" s="1"/>
  <c r="I156" i="1"/>
  <c r="I158" i="1" s="1"/>
  <c r="H156" i="1"/>
  <c r="H158" i="1" s="1"/>
  <c r="G156" i="1"/>
  <c r="G158" i="1" s="1"/>
  <c r="F156" i="1"/>
  <c r="F158" i="1" s="1"/>
  <c r="E156" i="1"/>
  <c r="E158" i="1" s="1"/>
  <c r="D156" i="1"/>
  <c r="D158" i="1" s="1"/>
  <c r="C156" i="1"/>
  <c r="C158" i="1" s="1"/>
  <c r="N143" i="1"/>
  <c r="L143" i="1"/>
  <c r="Y141" i="1"/>
  <c r="X141" i="1"/>
  <c r="W141" i="1"/>
  <c r="V141" i="1"/>
  <c r="U141" i="1"/>
  <c r="T141" i="1"/>
  <c r="S141" i="1"/>
  <c r="S143" i="1" s="1"/>
  <c r="S171" i="1" s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C143" i="1" s="1"/>
  <c r="C171" i="1" s="1"/>
  <c r="Y100" i="1"/>
  <c r="Y143" i="1" s="1"/>
  <c r="Y171" i="1" s="1"/>
  <c r="X100" i="1"/>
  <c r="X143" i="1" s="1"/>
  <c r="X171" i="1" s="1"/>
  <c r="W100" i="1"/>
  <c r="W143" i="1" s="1"/>
  <c r="W171" i="1" s="1"/>
  <c r="V100" i="1"/>
  <c r="V143" i="1" s="1"/>
  <c r="V171" i="1" s="1"/>
  <c r="U100" i="1"/>
  <c r="U143" i="1" s="1"/>
  <c r="U171" i="1" s="1"/>
  <c r="T100" i="1"/>
  <c r="T143" i="1" s="1"/>
  <c r="T171" i="1" s="1"/>
  <c r="S100" i="1"/>
  <c r="R100" i="1"/>
  <c r="R143" i="1" s="1"/>
  <c r="Q100" i="1"/>
  <c r="Q143" i="1" s="1"/>
  <c r="P100" i="1"/>
  <c r="P143" i="1" s="1"/>
  <c r="P171" i="1" s="1"/>
  <c r="O100" i="1"/>
  <c r="O143" i="1" s="1"/>
  <c r="N100" i="1"/>
  <c r="M100" i="1"/>
  <c r="M143" i="1" s="1"/>
  <c r="L100" i="1"/>
  <c r="K100" i="1"/>
  <c r="K143" i="1" s="1"/>
  <c r="J100" i="1"/>
  <c r="J143" i="1" s="1"/>
  <c r="J171" i="1" s="1"/>
  <c r="I100" i="1"/>
  <c r="I143" i="1" s="1"/>
  <c r="I171" i="1" s="1"/>
  <c r="H100" i="1"/>
  <c r="H143" i="1" s="1"/>
  <c r="H171" i="1" s="1"/>
  <c r="G100" i="1"/>
  <c r="G143" i="1" s="1"/>
  <c r="F100" i="1"/>
  <c r="F143" i="1" s="1"/>
  <c r="E100" i="1"/>
  <c r="E143" i="1" s="1"/>
  <c r="D100" i="1"/>
  <c r="D143" i="1" s="1"/>
  <c r="D171" i="1" s="1"/>
  <c r="C100" i="1"/>
  <c r="Q85" i="1"/>
  <c r="O85" i="1"/>
  <c r="Q81" i="1"/>
  <c r="Q83" i="1" s="1"/>
  <c r="O81" i="1"/>
  <c r="O83" i="1" s="1"/>
  <c r="M81" i="1"/>
  <c r="M83" i="1" s="1"/>
  <c r="Y79" i="1"/>
  <c r="X79" i="1"/>
  <c r="W79" i="1"/>
  <c r="V79" i="1"/>
  <c r="V81" i="1" s="1"/>
  <c r="V83" i="1" s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F81" i="1" s="1"/>
  <c r="F83" i="1" s="1"/>
  <c r="E79" i="1"/>
  <c r="D79" i="1"/>
  <c r="C79" i="1"/>
  <c r="Y25" i="1"/>
  <c r="Y81" i="1" s="1"/>
  <c r="Y83" i="1" s="1"/>
  <c r="X25" i="1"/>
  <c r="X81" i="1" s="1"/>
  <c r="W25" i="1"/>
  <c r="W81" i="1" s="1"/>
  <c r="W83" i="1" s="1"/>
  <c r="V25" i="1"/>
  <c r="U25" i="1"/>
  <c r="U81" i="1" s="1"/>
  <c r="U83" i="1" s="1"/>
  <c r="T25" i="1"/>
  <c r="T81" i="1" s="1"/>
  <c r="T83" i="1" s="1"/>
  <c r="S25" i="1"/>
  <c r="S81" i="1" s="1"/>
  <c r="R25" i="1"/>
  <c r="R81" i="1" s="1"/>
  <c r="R83" i="1" s="1"/>
  <c r="Q25" i="1"/>
  <c r="P25" i="1"/>
  <c r="P81" i="1" s="1"/>
  <c r="P83" i="1" s="1"/>
  <c r="O25" i="1"/>
  <c r="N25" i="1"/>
  <c r="N81" i="1" s="1"/>
  <c r="N83" i="1" s="1"/>
  <c r="M25" i="1"/>
  <c r="L25" i="1"/>
  <c r="L81" i="1" s="1"/>
  <c r="L83" i="1" s="1"/>
  <c r="K25" i="1"/>
  <c r="K81" i="1" s="1"/>
  <c r="K83" i="1" s="1"/>
  <c r="J25" i="1"/>
  <c r="J81" i="1" s="1"/>
  <c r="J83" i="1" s="1"/>
  <c r="I25" i="1"/>
  <c r="I81" i="1" s="1"/>
  <c r="I83" i="1" s="1"/>
  <c r="H25" i="1"/>
  <c r="H81" i="1" s="1"/>
  <c r="G25" i="1"/>
  <c r="G81" i="1" s="1"/>
  <c r="G83" i="1" s="1"/>
  <c r="F25" i="1"/>
  <c r="E25" i="1"/>
  <c r="E81" i="1" s="1"/>
  <c r="E83" i="1" s="1"/>
  <c r="D25" i="1"/>
  <c r="D81" i="1" s="1"/>
  <c r="D83" i="1" s="1"/>
  <c r="C25" i="1"/>
  <c r="C81" i="1" s="1"/>
  <c r="W13" i="1"/>
  <c r="V13" i="1"/>
  <c r="U13" i="1"/>
  <c r="T13" i="1"/>
  <c r="R13" i="1"/>
  <c r="L13" i="1"/>
  <c r="J13" i="1"/>
  <c r="G13" i="1"/>
  <c r="F13" i="1"/>
  <c r="D13" i="1"/>
  <c r="Y11" i="1"/>
  <c r="Y181" i="1" s="1"/>
  <c r="X11" i="1"/>
  <c r="X181" i="1" s="1"/>
  <c r="W11" i="1"/>
  <c r="V11" i="1"/>
  <c r="U11" i="1"/>
  <c r="T11" i="1"/>
  <c r="S11" i="1"/>
  <c r="R11" i="1"/>
  <c r="Q11" i="1"/>
  <c r="Q13" i="1" s="1"/>
  <c r="P11" i="1"/>
  <c r="P173" i="1" s="1"/>
  <c r="O11" i="1"/>
  <c r="N11" i="1"/>
  <c r="N85" i="1" s="1"/>
  <c r="M11" i="1"/>
  <c r="M85" i="1" s="1"/>
  <c r="L11" i="1"/>
  <c r="L85" i="1" s="1"/>
  <c r="K11" i="1"/>
  <c r="K13" i="1" s="1"/>
  <c r="J11" i="1"/>
  <c r="J85" i="1" s="1"/>
  <c r="I11" i="1"/>
  <c r="I181" i="1" s="1"/>
  <c r="H11" i="1"/>
  <c r="H181" i="1" s="1"/>
  <c r="G11" i="1"/>
  <c r="F11" i="1"/>
  <c r="E11" i="1"/>
  <c r="D11" i="1"/>
  <c r="C11" i="1"/>
  <c r="H83" i="1" l="1"/>
  <c r="H85" i="1"/>
  <c r="X85" i="1"/>
  <c r="X83" i="1"/>
  <c r="O173" i="1"/>
  <c r="E171" i="1"/>
  <c r="G171" i="1"/>
  <c r="M171" i="1"/>
  <c r="R181" i="1"/>
  <c r="F171" i="1"/>
  <c r="K171" i="1"/>
  <c r="O171" i="1"/>
  <c r="C181" i="1"/>
  <c r="S181" i="1"/>
  <c r="T181" i="1"/>
  <c r="E181" i="1"/>
  <c r="Q171" i="1"/>
  <c r="F181" i="1"/>
  <c r="R171" i="1"/>
  <c r="N171" i="1"/>
  <c r="D181" i="1"/>
  <c r="C83" i="1"/>
  <c r="C85" i="1"/>
  <c r="S83" i="1"/>
  <c r="S85" i="1"/>
  <c r="U181" i="1"/>
  <c r="L171" i="1"/>
  <c r="V181" i="1"/>
  <c r="G181" i="1"/>
  <c r="W181" i="1"/>
  <c r="C13" i="1"/>
  <c r="S13" i="1"/>
  <c r="P85" i="1"/>
  <c r="Q173" i="1"/>
  <c r="J181" i="1"/>
  <c r="K181" i="1"/>
  <c r="R173" i="1"/>
  <c r="E13" i="1"/>
  <c r="R85" i="1"/>
  <c r="C173" i="1"/>
  <c r="S173" i="1"/>
  <c r="L181" i="1"/>
  <c r="D173" i="1"/>
  <c r="T173" i="1"/>
  <c r="M181" i="1"/>
  <c r="D85" i="1"/>
  <c r="T85" i="1"/>
  <c r="E173" i="1"/>
  <c r="U173" i="1"/>
  <c r="N181" i="1"/>
  <c r="H13" i="1"/>
  <c r="X13" i="1"/>
  <c r="E85" i="1"/>
  <c r="U85" i="1"/>
  <c r="F173" i="1"/>
  <c r="V173" i="1"/>
  <c r="O181" i="1"/>
  <c r="I13" i="1"/>
  <c r="Y13" i="1"/>
  <c r="F85" i="1"/>
  <c r="V85" i="1"/>
  <c r="G173" i="1"/>
  <c r="W173" i="1"/>
  <c r="P181" i="1"/>
  <c r="G85" i="1"/>
  <c r="W85" i="1"/>
  <c r="H173" i="1"/>
  <c r="X173" i="1"/>
  <c r="Q181" i="1"/>
  <c r="I85" i="1"/>
  <c r="Y85" i="1"/>
  <c r="J173" i="1"/>
  <c r="K173" i="1"/>
  <c r="N13" i="1"/>
  <c r="K85" i="1"/>
  <c r="L173" i="1"/>
  <c r="I173" i="1"/>
  <c r="O13" i="1"/>
  <c r="M173" i="1"/>
  <c r="Y173" i="1"/>
  <c r="M13" i="1"/>
  <c r="P13" i="1"/>
  <c r="N173" i="1"/>
</calcChain>
</file>

<file path=xl/sharedStrings.xml><?xml version="1.0" encoding="utf-8"?>
<sst xmlns="http://schemas.openxmlformats.org/spreadsheetml/2006/main" count="508" uniqueCount="319">
  <si>
    <t>Takamull Trading Company
            Profit and Loss
            Basis: Accrual
                        From 01 Jan 2025 To 31 Dec 2025</t>
  </si>
  <si>
    <t/>
  </si>
  <si>
    <t>Cost Center - Takamull</t>
  </si>
  <si>
    <t>8000010 - تسوية مراكز التكلفة تكامل</t>
  </si>
  <si>
    <t>8000011 - المصاريف العمومية والادارية تكامل</t>
  </si>
  <si>
    <t>8000020 - مصاريف بيعية وتسويقية تكامل</t>
  </si>
  <si>
    <t>8000030 - تدريب وتطوير تكامل</t>
  </si>
  <si>
    <t>8000040 - مكتب ادارة المشاريع تكامل</t>
  </si>
  <si>
    <t>8000050 - الاتصال المؤسسي تكامل</t>
  </si>
  <si>
    <t>8023010 - إنشاء مقار إدارة العمل التطوعي لخدمة ضيوف الرحمن</t>
  </si>
  <si>
    <t>8023020 - منهجية عمل تعزز البنية المؤسسية للمنظمات غير الربحية</t>
  </si>
  <si>
    <t>8023030 - رفع الوعي الفني لدى منظمات القطاع غير الربحي</t>
  </si>
  <si>
    <t>8024010 - مشروع تقديم خدمات تأسيس وتفعيل وحدات ومراكز العمل التطوعي</t>
  </si>
  <si>
    <t>8024020 - مشروع الخدمات اللوجستية للعاملين في القطاع غير الربحي</t>
  </si>
  <si>
    <t>8024030 - تمكين الجمعيات المتخصصة العاملة في القطاع غير الربحي</t>
  </si>
  <si>
    <t>8024040 - تقديم الخدمات اللوجستية للتدريب في برنامج رائد</t>
  </si>
  <si>
    <t>8025010 - مشروع العربة</t>
  </si>
  <si>
    <t>8025020 - مشروع وزارة الرياضة</t>
  </si>
  <si>
    <t>8025030 - تقديم 3000 ساعة عمل تطوعية لموظفين شركة الكهرباء</t>
  </si>
  <si>
    <t>8025040 - مصنع الابتكار - اشوكا</t>
  </si>
  <si>
    <t>8025050 - حصر الاحتياج التدريبي في منظومة الصحة</t>
  </si>
  <si>
    <t>8025060 - مجموعات عمل التطوع التكافلي</t>
  </si>
  <si>
    <t>8025070 - سفر الإفطار في الحرم المكي</t>
  </si>
  <si>
    <t>8025080 - سوق الدار</t>
  </si>
  <si>
    <t>Untagged</t>
  </si>
  <si>
    <t xml:space="preserve">Account </t>
  </si>
  <si>
    <t xml:space="preserve">Account Code </t>
  </si>
  <si>
    <t xml:space="preserve">Total </t>
  </si>
  <si>
    <t>Operating Income</t>
  </si>
  <si>
    <t xml:space="preserve">          Sales reveune - ايرادات المبيعات</t>
  </si>
  <si>
    <t>41</t>
  </si>
  <si>
    <t xml:space="preserve">                    Govrenment Sales - المبيعات الحكومية</t>
  </si>
  <si>
    <t>411</t>
  </si>
  <si>
    <t xml:space="preserve">                    Private Sector Sales - مبيعات القطاع الخاص</t>
  </si>
  <si>
    <t>412</t>
  </si>
  <si>
    <t xml:space="preserve">                    NPO sales (Third Sector) - مبيعات القطاع الثالث</t>
  </si>
  <si>
    <t>413</t>
  </si>
  <si>
    <t xml:space="preserve">          Total for Sales reveune - ايرادات المبيعات</t>
  </si>
  <si>
    <t>Total for Operating Income</t>
  </si>
  <si>
    <t>Cost of Goods Sold</t>
  </si>
  <si>
    <t xml:space="preserve">          Project expenses - 5 - مصاريف المشاريع</t>
  </si>
  <si>
    <t>5</t>
  </si>
  <si>
    <t xml:space="preserve">                    Operating Payroll and Related - 51 - الرواتب المباشرة وملحقاتها</t>
  </si>
  <si>
    <t>51</t>
  </si>
  <si>
    <t xml:space="preserve">                              Payroll and related - 510101 - الرواتب وما في حكمها</t>
  </si>
  <si>
    <t>510101</t>
  </si>
  <si>
    <t xml:space="preserve">                              GOSI - 510103 - التأمينات الاجتماعية</t>
  </si>
  <si>
    <t>510103</t>
  </si>
  <si>
    <t xml:space="preserve">                              Medical insurance - 510104 - تامين طبي</t>
  </si>
  <si>
    <t>510104</t>
  </si>
  <si>
    <t xml:space="preserve">                              End of service benefits - 510105 - مكافاة نهاية الخدمة</t>
  </si>
  <si>
    <t>510105</t>
  </si>
  <si>
    <t xml:space="preserve">                              Sponosrship transfer - 510201 - نقل كفالات</t>
  </si>
  <si>
    <t>510201</t>
  </si>
  <si>
    <t xml:space="preserve">                              Iqama renewal - 510202 - تجديد اقامات</t>
  </si>
  <si>
    <t>510202</t>
  </si>
  <si>
    <t xml:space="preserve">                              Labor office fees - 510203 - رسوم مكتب العمل والمقابل المالي</t>
  </si>
  <si>
    <t>510203</t>
  </si>
  <si>
    <t xml:space="preserve">                    Total for Operating Payroll and Related - 51 - الرواتب المباشرة وملحقاتها</t>
  </si>
  <si>
    <t xml:space="preserve">                    Projects Direct Operating Cost 52 - تكلفة المشاريع المباشرة</t>
  </si>
  <si>
    <t>52</t>
  </si>
  <si>
    <t xml:space="preserve">                              Other government fees - 510306 - رسوم حكومية أخرى</t>
  </si>
  <si>
    <t>510306</t>
  </si>
  <si>
    <t xml:space="preserve">                              Consultants fees - 520101 - اتعاب مستشارين</t>
  </si>
  <si>
    <t>520101</t>
  </si>
  <si>
    <t xml:space="preserve">                              Facilitators fees - 520102 - اتعاب ميسرين</t>
  </si>
  <si>
    <t>520102</t>
  </si>
  <si>
    <t xml:space="preserve">                              Co-operators fees - 520103 - اتعاب متعاوني مشاريع</t>
  </si>
  <si>
    <t>520103</t>
  </si>
  <si>
    <t xml:space="preserve">                              Event organizers fees - 520104 - اتعاب منظمي فعاليات</t>
  </si>
  <si>
    <t>520104</t>
  </si>
  <si>
    <t xml:space="preserve">                              Logistic &amp; transportation fees - 520105 - اتعاب لوجستية ونقل</t>
  </si>
  <si>
    <t>520105</t>
  </si>
  <si>
    <t xml:space="preserve">                              Consultation fees - 520108 - اتعاب استشارات</t>
  </si>
  <si>
    <t>520108</t>
  </si>
  <si>
    <t xml:space="preserve">                              Production fees - 520110 - اتعاب انتاج</t>
  </si>
  <si>
    <t>520110</t>
  </si>
  <si>
    <t xml:space="preserve">                              coaches fees - 520111 - اتعاب مدربين</t>
  </si>
  <si>
    <t xml:space="preserve">520111 </t>
  </si>
  <si>
    <t xml:space="preserve">                              Employee perdeim - 520201 - انتدابات موظفين</t>
  </si>
  <si>
    <t>520201</t>
  </si>
  <si>
    <t xml:space="preserve">                              Co-operators perdiem - 520202 - انتدابات متعاونين</t>
  </si>
  <si>
    <t>520202</t>
  </si>
  <si>
    <t xml:space="preserve">                              Employee tickets - 520301 - تذاكر موظفين</t>
  </si>
  <si>
    <t>520301</t>
  </si>
  <si>
    <t xml:space="preserve">                              Co-operators tickets - 520302 - تذاكر متعاونين</t>
  </si>
  <si>
    <t>520302</t>
  </si>
  <si>
    <t xml:space="preserve">                              Co-operators transportation - 520402 - مواصلات متعاونين</t>
  </si>
  <si>
    <t>520402</t>
  </si>
  <si>
    <t xml:space="preserve">                              Hospitality - 520501 - ضيافة</t>
  </si>
  <si>
    <t>520501</t>
  </si>
  <si>
    <t xml:space="preserve">                              Hospitality preparation fees - 520502 - اتعاب تجهيزات ورش العمل و الضيافة</t>
  </si>
  <si>
    <t>520502</t>
  </si>
  <si>
    <t xml:space="preserve">                              Workshop hall rent - 520601 - ايجار قاعات ورش عمل</t>
  </si>
  <si>
    <t>520601</t>
  </si>
  <si>
    <t xml:space="preserve">                              Rental of banquet halls and meetings - 520602 - ايجار قاعات حفلات وملتقيات</t>
  </si>
  <si>
    <t>520602</t>
  </si>
  <si>
    <t xml:space="preserve">                              Hotel accommodation - 520603 - إقامة فندقية</t>
  </si>
  <si>
    <t>520603</t>
  </si>
  <si>
    <t xml:space="preserve">                              Furniture rental - 520701 - استئجار اثاث</t>
  </si>
  <si>
    <t>520701</t>
  </si>
  <si>
    <t xml:space="preserve">                              Stationery - 520801 - قرطاسية</t>
  </si>
  <si>
    <t>520801</t>
  </si>
  <si>
    <t xml:space="preserve">                              Games for workshops and meetings - 520802 - العاب ورش عمل وملتقيات</t>
  </si>
  <si>
    <t>520802</t>
  </si>
  <si>
    <t xml:space="preserve">                              Equipment and decorations for workshops and meetings - 520804 - تجهيزات وديكورات ورش عمل وملتقيات</t>
  </si>
  <si>
    <t>520804</t>
  </si>
  <si>
    <t xml:space="preserve">                              Photography fee - 520901 - اتعاب تصوير فوتوغرافي</t>
  </si>
  <si>
    <t>520901</t>
  </si>
  <si>
    <t xml:space="preserve">                              Video shooting fee - 520902 - اتعاب تصوير فيديو</t>
  </si>
  <si>
    <t>520902</t>
  </si>
  <si>
    <t xml:space="preserve">                              montage fee - 520903 - اتعاب مونتاج</t>
  </si>
  <si>
    <t>520903</t>
  </si>
  <si>
    <t xml:space="preserve">                              Live broadcast costs - 520905 - تكاليف بث مباشر</t>
  </si>
  <si>
    <t>520905</t>
  </si>
  <si>
    <t xml:space="preserve">                              Guides and reports design - 521001 - تصميم ادلة وتقارير</t>
  </si>
  <si>
    <t>521001</t>
  </si>
  <si>
    <t xml:space="preserve">                              Identity Design - 521004 - تصميم هويات</t>
  </si>
  <si>
    <t>521004</t>
  </si>
  <si>
    <t xml:space="preserve">                              Infographic design - 521005 - تصميم انفوجرافيك</t>
  </si>
  <si>
    <t>521005</t>
  </si>
  <si>
    <t xml:space="preserve">                              Paper printing - 521101 - طباعة ورقية</t>
  </si>
  <si>
    <t>521101</t>
  </si>
  <si>
    <t xml:space="preserve">                              Roll up and pop up printing - 521103 - طباعة رول أب وبوب أب</t>
  </si>
  <si>
    <t>521103</t>
  </si>
  <si>
    <t xml:space="preserve">                              Official documents printing - 521104 - طباعة مستندات رسمية</t>
  </si>
  <si>
    <t>521104</t>
  </si>
  <si>
    <t xml:space="preserve">                              Guides and reports printing - 521106 - طباعة أدلة وتقارير</t>
  </si>
  <si>
    <t>521106</t>
  </si>
  <si>
    <t xml:space="preserve">                              Cash prizes - 521201 - جوائز نقدية</t>
  </si>
  <si>
    <t>521201</t>
  </si>
  <si>
    <t xml:space="preserve">                              Gifts - 521203 - هدايا</t>
  </si>
  <si>
    <t>521203</t>
  </si>
  <si>
    <t xml:space="preserve">                              Mobile  - 521302 - شحن جوال</t>
  </si>
  <si>
    <t>521302</t>
  </si>
  <si>
    <t xml:space="preserve">                              Shipping and delivery fees - 521305 - ارساليات و رسوم توصيل</t>
  </si>
  <si>
    <t>521305</t>
  </si>
  <si>
    <t xml:space="preserve">                              SMS fees - 521306 - شحن رسائل SMS</t>
  </si>
  <si>
    <t>521306</t>
  </si>
  <si>
    <t xml:space="preserve">                              Office subscription - 521401 - اشتراك موقع Office</t>
  </si>
  <si>
    <t>521401</t>
  </si>
  <si>
    <t xml:space="preserve">                              Other software subscription - 521408 - اشتراك برمجيات أخرى</t>
  </si>
  <si>
    <t>521408</t>
  </si>
  <si>
    <t xml:space="preserve">                              Software and application subscription - 521409 - اشتراكات برامج وتطبيقات</t>
  </si>
  <si>
    <t>521409</t>
  </si>
  <si>
    <t xml:space="preserve">                              Implementation of initiatives - 521702 - تنفيذ مبادرات</t>
  </si>
  <si>
    <t>521702</t>
  </si>
  <si>
    <t xml:space="preserve">                              rent - 530101 - ايجارات</t>
  </si>
  <si>
    <t>530101</t>
  </si>
  <si>
    <t xml:space="preserve">                              Cleaning - 530103 - نظافة</t>
  </si>
  <si>
    <t>530103</t>
  </si>
  <si>
    <t xml:space="preserve">                              Fuel - 530104 - وقود ومحروقات</t>
  </si>
  <si>
    <t>530104</t>
  </si>
  <si>
    <t xml:space="preserve">                              Bank service charges - 530105 - خدمات بنكية</t>
  </si>
  <si>
    <t>530105</t>
  </si>
  <si>
    <t xml:space="preserve">                              Marketing commission - 530107 - عمولات تسويق</t>
  </si>
  <si>
    <t>530107</t>
  </si>
  <si>
    <t xml:space="preserve">                              Technical and electronic tools - 530116 - ادوات تقنية والكترونية وعدد</t>
  </si>
  <si>
    <t>530116</t>
  </si>
  <si>
    <t xml:space="preserve">                              Empoyees bonus - 530203 - مكافاة موظفين</t>
  </si>
  <si>
    <t>530203</t>
  </si>
  <si>
    <t xml:space="preserve">                              Papers - 530404 - ورق تصوير</t>
  </si>
  <si>
    <t>530404</t>
  </si>
  <si>
    <t xml:space="preserve">                    Total for Projects Direct Operating Cost 52 - تكلفة المشاريع المباشرة</t>
  </si>
  <si>
    <t xml:space="preserve">          Total for Project expenses - 5 - مصاريف المشاريع</t>
  </si>
  <si>
    <t>Total for Cost of Goods Sold</t>
  </si>
  <si>
    <t>Gross Profit</t>
  </si>
  <si>
    <t>Operating Expense</t>
  </si>
  <si>
    <t xml:space="preserve">          Purchase Discounts</t>
  </si>
  <si>
    <t xml:space="preserve">          General and administrative expenses - 6 - المصاريف العمومية و الإدارية</t>
  </si>
  <si>
    <t>6</t>
  </si>
  <si>
    <t xml:space="preserve">                    Payroll and Payroll Related - 61 - الرواتب الادارية وملحقاتها</t>
  </si>
  <si>
    <t>61</t>
  </si>
  <si>
    <t xml:space="preserve">                              payroll - 610101 - الرواتب وما في حكمها</t>
  </si>
  <si>
    <t>610101</t>
  </si>
  <si>
    <t xml:space="preserve">                              Medical insurance - 610104 - تامين طبي</t>
  </si>
  <si>
    <t>610104</t>
  </si>
  <si>
    <t xml:space="preserve">                              End of service benefits - 610105 - مكافاة نهاية الخدمة</t>
  </si>
  <si>
    <t>610105</t>
  </si>
  <si>
    <t xml:space="preserve">                              Sponosrship transfer - 610201 - نقل كفالات</t>
  </si>
  <si>
    <t>610201</t>
  </si>
  <si>
    <t xml:space="preserve">                              Iqama renewal - 610202 - تجديد اقامات</t>
  </si>
  <si>
    <t>610202</t>
  </si>
  <si>
    <t xml:space="preserve">                              Labor office fees - 610203 - رسوم مكتب العمل والمقابل المالي</t>
  </si>
  <si>
    <t>610203</t>
  </si>
  <si>
    <t xml:space="preserve">                              Re-exit visa - 610204 - رسوم تأشيرة خروج وعودة</t>
  </si>
  <si>
    <t>610204</t>
  </si>
  <si>
    <t xml:space="preserve">                              Visa fees - 610305 - اصدار فيز وتأشيرات</t>
  </si>
  <si>
    <t>610305</t>
  </si>
  <si>
    <t xml:space="preserve">                              Empoyees bonus - 630203 - مكافاة موظفين</t>
  </si>
  <si>
    <t>630203</t>
  </si>
  <si>
    <t xml:space="preserve">                    Total for Payroll and Payroll Related - 61 - الرواتب الادارية وملحقاتها</t>
  </si>
  <si>
    <t xml:space="preserve">                    G &amp; A Expenses- 62 - مصاريف ادارية وعمومية</t>
  </si>
  <si>
    <t>62</t>
  </si>
  <si>
    <t xml:space="preserve">                              Licence fees - 610301 - رسوم سجلات ورخص</t>
  </si>
  <si>
    <t>610301</t>
  </si>
  <si>
    <t xml:space="preserve">                              Chamber of Commerce attestation fee - 610302 - تصاديق غرفة تجارية</t>
  </si>
  <si>
    <t>610302</t>
  </si>
  <si>
    <t xml:space="preserve">                              Other government fees - 610306 - رسوم حكومية أخرى</t>
  </si>
  <si>
    <t>610306</t>
  </si>
  <si>
    <t xml:space="preserve">                              Consultants fees - 620101 - اتعاب مستشارين</t>
  </si>
  <si>
    <t>620101</t>
  </si>
  <si>
    <t xml:space="preserve">                              Co-operators fees - 620103 - اتعاب متعاوني مشاريع</t>
  </si>
  <si>
    <t>620103</t>
  </si>
  <si>
    <t xml:space="preserve">                              Logistic &amp; transportation fees - 620105 - اتعاب لوجستية ونقل</t>
  </si>
  <si>
    <t>620105</t>
  </si>
  <si>
    <t xml:space="preserve">                              Production fees - 620110 - اتعاب انتاج</t>
  </si>
  <si>
    <t>620110</t>
  </si>
  <si>
    <t xml:space="preserve">                              Employee perdeim - 620201 - انتدابات موظفين</t>
  </si>
  <si>
    <t>620201</t>
  </si>
  <si>
    <t xml:space="preserve">                              Co-operators perdiem - 620202 - انتدابات متعاونين</t>
  </si>
  <si>
    <t>620202</t>
  </si>
  <si>
    <t xml:space="preserve">                              Employee tickets - 620301 - تذاكر موظفين</t>
  </si>
  <si>
    <t>620301</t>
  </si>
  <si>
    <t xml:space="preserve">                              Co-operators tickets - 620302 - تذاكر متعاونين</t>
  </si>
  <si>
    <t>620302</t>
  </si>
  <si>
    <t xml:space="preserve">                              Emplyee transportation - 620401 - مواصلات موظفين</t>
  </si>
  <si>
    <t>620401</t>
  </si>
  <si>
    <t xml:space="preserve">                              Hospitality - 620501 - ضيافة</t>
  </si>
  <si>
    <t>620501</t>
  </si>
  <si>
    <t xml:space="preserve">                              Stationery - 620801 - قرطاسية</t>
  </si>
  <si>
    <t>620801</t>
  </si>
  <si>
    <t xml:space="preserve">                              montage fee - 620903 - اتعاب مونتاج</t>
  </si>
  <si>
    <t>620903</t>
  </si>
  <si>
    <t xml:space="preserve">                              Paper printing - 621101 - طباعة ورقية</t>
  </si>
  <si>
    <t>621101</t>
  </si>
  <si>
    <t xml:space="preserve">                              Guides and reports printing - 621106 - طباعة أدلة وتقارير</t>
  </si>
  <si>
    <t>621106</t>
  </si>
  <si>
    <t xml:space="preserve">                              Gifts - 621203 - هدايا</t>
  </si>
  <si>
    <t>621203</t>
  </si>
  <si>
    <t xml:space="preserve">                              Compnay telephone - 621301 - هاتف ثابت</t>
  </si>
  <si>
    <t>621301</t>
  </si>
  <si>
    <t xml:space="preserve">                              Internet - 621303 - انترنت</t>
  </si>
  <si>
    <t>621303</t>
  </si>
  <si>
    <t xml:space="preserve">                              SMS fees - 621306 - شحن رسائل SMS</t>
  </si>
  <si>
    <t>621306</t>
  </si>
  <si>
    <t xml:space="preserve">                              Office subscription - 621401 - اشتراك موقع Office</t>
  </si>
  <si>
    <t>621401</t>
  </si>
  <si>
    <t xml:space="preserve">                              Domain &amp; Hosting subscription - 621403 - اشتراك دومين و هوستينق</t>
  </si>
  <si>
    <t>621403</t>
  </si>
  <si>
    <t xml:space="preserve">                              Software and application subscription - 621409 - اشتراكات برامج وتطبيقات</t>
  </si>
  <si>
    <t>621409</t>
  </si>
  <si>
    <t xml:space="preserve">                              Zoho subscription - 621410 - اشتراك زوهو</t>
  </si>
  <si>
    <t>621410</t>
  </si>
  <si>
    <t xml:space="preserve">                              rent - 630101 - ايجارات</t>
  </si>
  <si>
    <t>630101</t>
  </si>
  <si>
    <t xml:space="preserve">                              electiricity  - 630102 - كهرباء</t>
  </si>
  <si>
    <t>630102</t>
  </si>
  <si>
    <t xml:space="preserve">                              Cleaning - 630103 - نظافة</t>
  </si>
  <si>
    <t>630103</t>
  </si>
  <si>
    <t xml:space="preserve">                              Fuel - 630104 - وقود ومحروقات</t>
  </si>
  <si>
    <t>630104</t>
  </si>
  <si>
    <t xml:space="preserve">                              Bank service charges - 630105 - خدمات بنكية</t>
  </si>
  <si>
    <t>630105</t>
  </si>
  <si>
    <t xml:space="preserve">                              Miscellaneous - 630106 - نثريات</t>
  </si>
  <si>
    <t>630106</t>
  </si>
  <si>
    <t xml:space="preserve">                              Withhodling tax - 630108 - ضريبة استقطاع</t>
  </si>
  <si>
    <t>630108</t>
  </si>
  <si>
    <t xml:space="preserve">                              Professiomal fees - 630111 - اتعاب مهنية ومحاماة</t>
  </si>
  <si>
    <t>630111</t>
  </si>
  <si>
    <t xml:space="preserve">                              Technical and electronic tools - 630116 - ادوات تقنية والكترونية وعدد</t>
  </si>
  <si>
    <t>630116</t>
  </si>
  <si>
    <t xml:space="preserve">                              Aathar Adm. Expenses - 630120 - مصاريف اثار الادارية</t>
  </si>
  <si>
    <t>630120</t>
  </si>
  <si>
    <t xml:space="preserve">                              General Maintenance Expenses - 630301 - صيانة عامة</t>
  </si>
  <si>
    <t>630301</t>
  </si>
  <si>
    <t xml:space="preserve">                              Training fees - 630501 - رسوم تدريب</t>
  </si>
  <si>
    <t>630501</t>
  </si>
  <si>
    <t xml:space="preserve">                              Headquarter establishment expenses -Riyad - 630801 - تاسيس مكتب الرياض</t>
  </si>
  <si>
    <t>630801</t>
  </si>
  <si>
    <t xml:space="preserve">                    Total for G &amp; A Expenses- 62 - مصاريف ادارية وعمومية</t>
  </si>
  <si>
    <t xml:space="preserve">          Total for General and administrative expenses - 6 - المصاريف العمومية و الإدارية</t>
  </si>
  <si>
    <t xml:space="preserve">          General and administrative expenses - 7 - المصاريف البيعية و التسويقية</t>
  </si>
  <si>
    <t>7</t>
  </si>
  <si>
    <t xml:space="preserve">                    Marketing expenses - 72 -  مصاريف تسويقية</t>
  </si>
  <si>
    <t>72</t>
  </si>
  <si>
    <t xml:space="preserve">                              Other government fees - 710306 - رسوم حكومية اخرى</t>
  </si>
  <si>
    <t>710306</t>
  </si>
  <si>
    <t xml:space="preserve">                              Employee perdeim - 720201 - انتدابات موظفين</t>
  </si>
  <si>
    <t>720201</t>
  </si>
  <si>
    <t xml:space="preserve">                              Employee tickets - 720301 - تذاكر موظفين</t>
  </si>
  <si>
    <t>720301</t>
  </si>
  <si>
    <t xml:space="preserve">                              Co-operators tickets - 720302 - تذاكر متعاونين</t>
  </si>
  <si>
    <t>720302</t>
  </si>
  <si>
    <t xml:space="preserve">                              Emplyee transportation - 720401 - مواصلات موظفين</t>
  </si>
  <si>
    <t>720401</t>
  </si>
  <si>
    <t xml:space="preserve">                              Identity Design - 721004 - تصميم هويات</t>
  </si>
  <si>
    <t>721004</t>
  </si>
  <si>
    <t xml:space="preserve">                              Gifts - 721203 - هدايا</t>
  </si>
  <si>
    <t>721203</t>
  </si>
  <si>
    <t xml:space="preserve">                              Software and application subscription - 721409 - اشتراكات برامج وتطبيقات</t>
  </si>
  <si>
    <t>721409</t>
  </si>
  <si>
    <t xml:space="preserve">                              Marketing commission - 730107 - عمولات تسويق</t>
  </si>
  <si>
    <t>730107</t>
  </si>
  <si>
    <t xml:space="preserve">                    Total for Marketing expenses - 72 -  مصاريف تسويقية</t>
  </si>
  <si>
    <t xml:space="preserve">          Total for General and administrative expenses - 7 - المصاريف البيعية و التسويقية</t>
  </si>
  <si>
    <t xml:space="preserve">          Assets depreciation - 8 - الاهلاكات و الاطفاءات</t>
  </si>
  <si>
    <t>8</t>
  </si>
  <si>
    <t xml:space="preserve">                    Depreciation of fixed assets - 81 - اهلاك الأصول الثابتة</t>
  </si>
  <si>
    <t>81</t>
  </si>
  <si>
    <t xml:space="preserve">                              Depreciation - Tools - 810005 - اهلاك عدد وادوات</t>
  </si>
  <si>
    <t>810005</t>
  </si>
  <si>
    <t xml:space="preserve">                              Depreciation - Electrical Devices - 810006 - اهلاك اجهزة كهربائية</t>
  </si>
  <si>
    <t>810006</t>
  </si>
  <si>
    <t xml:space="preserve">                              Depreciation - Computers - 810007 - اهلاك اجهزة حاسب الي</t>
  </si>
  <si>
    <t>810007</t>
  </si>
  <si>
    <t xml:space="preserve">                              Depreciation - Furniture - 810008 - اهلاك الاثاث والمفروشات</t>
  </si>
  <si>
    <t>810008</t>
  </si>
  <si>
    <t xml:space="preserve">                              Depreciation - Lease bulding Improvements - 810009 - اهلاك تحسينات مباني مستأجرة</t>
  </si>
  <si>
    <t>810009</t>
  </si>
  <si>
    <t xml:space="preserve">                    Total for Depreciation of fixed assets - 81 - اهلاك الأصول الثابتة</t>
  </si>
  <si>
    <t xml:space="preserve">          Total for Assets depreciation - 8 - الاهلاكات و الاطفاءات</t>
  </si>
  <si>
    <t>Total for Operating Expense</t>
  </si>
  <si>
    <t>Operating Profit</t>
  </si>
  <si>
    <t>Non Operating Income</t>
  </si>
  <si>
    <t>Total for Non Operating Income</t>
  </si>
  <si>
    <t>Non Operating Expense</t>
  </si>
  <si>
    <t>Total for Non Operating Expense</t>
  </si>
  <si>
    <t>Net 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</si>
</sst>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2"/>
  <sheetViews>
    <sheetView tabSelected="1" workbookViewId="0">
      <selection sqref="A1:Y1"/>
    </sheetView>
  </sheetViews>
  <sheetFormatPr defaultRowHeight="14.4" x14ac:dyDescent="0.3"/>
  <cols>
    <col min="1" max="25" width="39.109375" customWidth="1"/>
  </cols>
  <sheetData>
    <row r="1" spans="1:25" ht="70.0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3">
      <c r="A2" s="10" t="s">
        <v>1</v>
      </c>
      <c r="B2" s="10" t="s">
        <v>1</v>
      </c>
      <c r="C2" t="s">
        <v>1</v>
      </c>
      <c r="D2" s="10" t="s">
        <v>2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  <c r="K2" s="10" t="s">
        <v>1</v>
      </c>
      <c r="L2" s="10" t="s">
        <v>1</v>
      </c>
      <c r="M2" s="10" t="s">
        <v>1</v>
      </c>
      <c r="N2" s="10" t="s">
        <v>1</v>
      </c>
      <c r="O2" s="10" t="s">
        <v>1</v>
      </c>
      <c r="P2" s="10" t="s">
        <v>1</v>
      </c>
      <c r="Q2" s="10" t="s">
        <v>1</v>
      </c>
      <c r="R2" s="10" t="s">
        <v>1</v>
      </c>
      <c r="S2" s="10" t="s">
        <v>1</v>
      </c>
      <c r="T2" s="10" t="s">
        <v>1</v>
      </c>
      <c r="U2" s="10" t="s">
        <v>1</v>
      </c>
      <c r="V2" s="10" t="s">
        <v>1</v>
      </c>
      <c r="W2" s="10" t="s">
        <v>1</v>
      </c>
      <c r="X2" s="10" t="s">
        <v>1</v>
      </c>
      <c r="Y2" s="10" t="s">
        <v>1</v>
      </c>
    </row>
    <row r="3" spans="1:25" x14ac:dyDescent="0.3">
      <c r="A3" s="10" t="s">
        <v>1</v>
      </c>
      <c r="B3" s="10" t="s">
        <v>1</v>
      </c>
      <c r="C3" s="7" t="s">
        <v>1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</row>
    <row r="4" spans="1:25" x14ac:dyDescent="0.3">
      <c r="A4" s="4" t="s">
        <v>25</v>
      </c>
      <c r="B4" s="4" t="s">
        <v>26</v>
      </c>
      <c r="C4" s="6" t="s">
        <v>27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  <c r="X4" s="6" t="s">
        <v>27</v>
      </c>
      <c r="Y4" s="6" t="s">
        <v>27</v>
      </c>
    </row>
    <row r="6" spans="1:25" x14ac:dyDescent="0.3">
      <c r="A6" s="2" t="s">
        <v>28</v>
      </c>
      <c r="B6" s="2" t="s">
        <v>1</v>
      </c>
      <c r="C6" s="9" t="s">
        <v>1</v>
      </c>
      <c r="D6" s="9" t="s">
        <v>1</v>
      </c>
      <c r="E6" s="9" t="s">
        <v>1</v>
      </c>
      <c r="F6" s="9" t="s">
        <v>1</v>
      </c>
      <c r="G6" s="9" t="s">
        <v>1</v>
      </c>
      <c r="H6" s="9" t="s">
        <v>1</v>
      </c>
      <c r="I6" s="9" t="s">
        <v>1</v>
      </c>
      <c r="J6" s="9" t="s">
        <v>1</v>
      </c>
      <c r="K6" s="9" t="s">
        <v>1</v>
      </c>
      <c r="L6" s="9" t="s">
        <v>1</v>
      </c>
      <c r="M6" s="9" t="s">
        <v>1</v>
      </c>
      <c r="N6" s="9" t="s">
        <v>1</v>
      </c>
      <c r="O6" s="9" t="s">
        <v>1</v>
      </c>
      <c r="P6" s="9" t="s">
        <v>1</v>
      </c>
      <c r="Q6" s="9" t="s">
        <v>1</v>
      </c>
      <c r="R6" s="9" t="s">
        <v>1</v>
      </c>
      <c r="S6" s="9" t="s">
        <v>1</v>
      </c>
      <c r="T6" s="9" t="s">
        <v>1</v>
      </c>
      <c r="U6" s="9" t="s">
        <v>1</v>
      </c>
      <c r="V6" s="9" t="s">
        <v>1</v>
      </c>
      <c r="W6" s="9" t="s">
        <v>1</v>
      </c>
      <c r="X6" s="9" t="s">
        <v>1</v>
      </c>
      <c r="Y6" s="9" t="s">
        <v>1</v>
      </c>
    </row>
    <row r="7" spans="1:25" x14ac:dyDescent="0.3">
      <c r="A7" s="2" t="s">
        <v>29</v>
      </c>
      <c r="B7" s="2" t="s">
        <v>30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x14ac:dyDescent="0.3">
      <c r="A8" s="2" t="s">
        <v>31</v>
      </c>
      <c r="B8" s="2" t="s">
        <v>32</v>
      </c>
      <c r="C8" s="3">
        <v>21411371.27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5934840</v>
      </c>
      <c r="K8" s="3">
        <v>1070000</v>
      </c>
      <c r="L8" s="3">
        <v>2111789.6</v>
      </c>
      <c r="M8" s="3">
        <v>0</v>
      </c>
      <c r="N8" s="3">
        <v>0</v>
      </c>
      <c r="O8" s="3">
        <v>6558541.6699999999</v>
      </c>
      <c r="P8" s="3">
        <v>775000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4961200</v>
      </c>
      <c r="W8" s="3">
        <v>0</v>
      </c>
      <c r="X8" s="3">
        <v>0</v>
      </c>
      <c r="Y8" s="3">
        <v>0</v>
      </c>
    </row>
    <row r="9" spans="1:25" x14ac:dyDescent="0.3">
      <c r="A9" s="2" t="s">
        <v>33</v>
      </c>
      <c r="B9" s="2" t="s">
        <v>34</v>
      </c>
      <c r="C9" s="3">
        <v>4006337.53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585000</v>
      </c>
      <c r="N9" s="3">
        <v>0</v>
      </c>
      <c r="O9" s="3">
        <v>0</v>
      </c>
      <c r="P9" s="3">
        <v>775000</v>
      </c>
      <c r="Q9" s="3">
        <v>2160624.7999999998</v>
      </c>
      <c r="R9" s="3">
        <v>392100</v>
      </c>
      <c r="S9" s="3">
        <v>0</v>
      </c>
      <c r="T9" s="3">
        <v>93612.73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x14ac:dyDescent="0.3">
      <c r="A10" s="2" t="s">
        <v>35</v>
      </c>
      <c r="B10" s="2" t="s">
        <v>36</v>
      </c>
      <c r="C10" s="3">
        <v>3588878.26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585000</v>
      </c>
      <c r="N10" s="3">
        <v>537725.69999999995</v>
      </c>
      <c r="O10" s="3">
        <v>0</v>
      </c>
      <c r="P10" s="3">
        <v>0</v>
      </c>
      <c r="Q10" s="3">
        <v>0</v>
      </c>
      <c r="R10" s="3">
        <v>2466152.56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5.6" x14ac:dyDescent="0.3">
      <c r="A11" s="5" t="s">
        <v>37</v>
      </c>
      <c r="B11" t="s">
        <v>30</v>
      </c>
      <c r="C11" s="1">
        <f t="shared" ref="C11:Y11" si="0">(+(C7)+(C8)+(C9)+(C10))</f>
        <v>29006587.060000002</v>
      </c>
      <c r="D11" s="1">
        <f t="shared" si="0"/>
        <v>0</v>
      </c>
      <c r="E11" s="1">
        <f t="shared" si="0"/>
        <v>0</v>
      </c>
      <c r="F11" s="1">
        <f t="shared" si="0"/>
        <v>0</v>
      </c>
      <c r="G11" s="1">
        <f t="shared" si="0"/>
        <v>0</v>
      </c>
      <c r="H11" s="1">
        <f t="shared" si="0"/>
        <v>0</v>
      </c>
      <c r="I11" s="1">
        <f t="shared" si="0"/>
        <v>0</v>
      </c>
      <c r="J11" s="1">
        <f t="shared" si="0"/>
        <v>5934840</v>
      </c>
      <c r="K11" s="1">
        <f t="shared" si="0"/>
        <v>1070000</v>
      </c>
      <c r="L11" s="1">
        <f t="shared" si="0"/>
        <v>2111789.6</v>
      </c>
      <c r="M11" s="1">
        <f t="shared" si="0"/>
        <v>1170000</v>
      </c>
      <c r="N11" s="1">
        <f t="shared" si="0"/>
        <v>537725.69999999995</v>
      </c>
      <c r="O11" s="1">
        <f t="shared" si="0"/>
        <v>6558541.6699999999</v>
      </c>
      <c r="P11" s="1">
        <f t="shared" si="0"/>
        <v>1550000</v>
      </c>
      <c r="Q11" s="1">
        <f t="shared" si="0"/>
        <v>2160624.7999999998</v>
      </c>
      <c r="R11" s="1">
        <f t="shared" si="0"/>
        <v>2858252.56</v>
      </c>
      <c r="S11" s="1">
        <f t="shared" si="0"/>
        <v>0</v>
      </c>
      <c r="T11" s="1">
        <f t="shared" si="0"/>
        <v>93612.73</v>
      </c>
      <c r="U11" s="1">
        <f t="shared" si="0"/>
        <v>0</v>
      </c>
      <c r="V11" s="1">
        <f t="shared" si="0"/>
        <v>4961200</v>
      </c>
      <c r="W11" s="1">
        <f t="shared" si="0"/>
        <v>0</v>
      </c>
      <c r="X11" s="1">
        <f t="shared" si="0"/>
        <v>0</v>
      </c>
      <c r="Y11" s="1">
        <f t="shared" si="0"/>
        <v>0</v>
      </c>
    </row>
    <row r="13" spans="1:25" ht="15.6" x14ac:dyDescent="0.3">
      <c r="A13" s="5" t="s">
        <v>38</v>
      </c>
      <c r="B13" t="s">
        <v>1</v>
      </c>
      <c r="C13" s="1">
        <f t="shared" ref="C13:Y13" si="1">(+(C11))</f>
        <v>29006587.060000002</v>
      </c>
      <c r="D13" s="1">
        <f t="shared" si="1"/>
        <v>0</v>
      </c>
      <c r="E13" s="1">
        <f t="shared" si="1"/>
        <v>0</v>
      </c>
      <c r="F13" s="1">
        <f t="shared" si="1"/>
        <v>0</v>
      </c>
      <c r="G13" s="1">
        <f t="shared" si="1"/>
        <v>0</v>
      </c>
      <c r="H13" s="1">
        <f t="shared" si="1"/>
        <v>0</v>
      </c>
      <c r="I13" s="1">
        <f t="shared" si="1"/>
        <v>0</v>
      </c>
      <c r="J13" s="1">
        <f t="shared" si="1"/>
        <v>5934840</v>
      </c>
      <c r="K13" s="1">
        <f t="shared" si="1"/>
        <v>1070000</v>
      </c>
      <c r="L13" s="1">
        <f t="shared" si="1"/>
        <v>2111789.6</v>
      </c>
      <c r="M13" s="1">
        <f t="shared" si="1"/>
        <v>1170000</v>
      </c>
      <c r="N13" s="1">
        <f t="shared" si="1"/>
        <v>537725.69999999995</v>
      </c>
      <c r="O13" s="1">
        <f t="shared" si="1"/>
        <v>6558541.6699999999</v>
      </c>
      <c r="P13" s="1">
        <f t="shared" si="1"/>
        <v>1550000</v>
      </c>
      <c r="Q13" s="1">
        <f t="shared" si="1"/>
        <v>2160624.7999999998</v>
      </c>
      <c r="R13" s="1">
        <f t="shared" si="1"/>
        <v>2858252.56</v>
      </c>
      <c r="S13" s="1">
        <f t="shared" si="1"/>
        <v>0</v>
      </c>
      <c r="T13" s="1">
        <f t="shared" si="1"/>
        <v>93612.73</v>
      </c>
      <c r="U13" s="1">
        <f t="shared" si="1"/>
        <v>0</v>
      </c>
      <c r="V13" s="1">
        <f t="shared" si="1"/>
        <v>4961200</v>
      </c>
      <c r="W13" s="1">
        <f t="shared" si="1"/>
        <v>0</v>
      </c>
      <c r="X13" s="1">
        <f t="shared" si="1"/>
        <v>0</v>
      </c>
      <c r="Y13" s="1">
        <f t="shared" si="1"/>
        <v>0</v>
      </c>
    </row>
    <row r="15" spans="1:25" x14ac:dyDescent="0.3">
      <c r="A15" s="2" t="s">
        <v>39</v>
      </c>
      <c r="B15" s="2" t="s">
        <v>1</v>
      </c>
      <c r="C15" s="9" t="s">
        <v>1</v>
      </c>
      <c r="D15" s="9" t="s">
        <v>1</v>
      </c>
      <c r="E15" s="9" t="s">
        <v>1</v>
      </c>
      <c r="F15" s="9" t="s">
        <v>1</v>
      </c>
      <c r="G15" s="9" t="s">
        <v>1</v>
      </c>
      <c r="H15" s="9" t="s">
        <v>1</v>
      </c>
      <c r="I15" s="9" t="s">
        <v>1</v>
      </c>
      <c r="J15" s="9" t="s">
        <v>1</v>
      </c>
      <c r="K15" s="9" t="s">
        <v>1</v>
      </c>
      <c r="L15" s="9" t="s">
        <v>1</v>
      </c>
      <c r="M15" s="9" t="s">
        <v>1</v>
      </c>
      <c r="N15" s="9" t="s">
        <v>1</v>
      </c>
      <c r="O15" s="9" t="s">
        <v>1</v>
      </c>
      <c r="P15" s="9" t="s">
        <v>1</v>
      </c>
      <c r="Q15" s="9" t="s">
        <v>1</v>
      </c>
      <c r="R15" s="9" t="s">
        <v>1</v>
      </c>
      <c r="S15" s="9" t="s">
        <v>1</v>
      </c>
      <c r="T15" s="9" t="s">
        <v>1</v>
      </c>
      <c r="U15" s="9" t="s">
        <v>1</v>
      </c>
      <c r="V15" s="9" t="s">
        <v>1</v>
      </c>
      <c r="W15" s="9" t="s">
        <v>1</v>
      </c>
      <c r="X15" s="9" t="s">
        <v>1</v>
      </c>
      <c r="Y15" s="9" t="s">
        <v>1</v>
      </c>
    </row>
    <row r="16" spans="1:25" x14ac:dyDescent="0.3">
      <c r="A16" s="2" t="s">
        <v>40</v>
      </c>
      <c r="B16" s="2" t="s">
        <v>41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x14ac:dyDescent="0.3">
      <c r="A17" s="2" t="s">
        <v>42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x14ac:dyDescent="0.3">
      <c r="A18" s="2" t="s">
        <v>44</v>
      </c>
      <c r="B18" s="2" t="s">
        <v>45</v>
      </c>
      <c r="C18" s="3">
        <v>1789041.09</v>
      </c>
      <c r="D18" s="3">
        <v>1789041.09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x14ac:dyDescent="0.3">
      <c r="A19" s="2" t="s">
        <v>46</v>
      </c>
      <c r="B19" s="2" t="s">
        <v>47</v>
      </c>
      <c r="C19" s="3">
        <v>93052.34</v>
      </c>
      <c r="D19" s="3">
        <v>93052.34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x14ac:dyDescent="0.3">
      <c r="A20" s="2" t="s">
        <v>48</v>
      </c>
      <c r="B20" s="2" t="s">
        <v>49</v>
      </c>
      <c r="C20" s="3">
        <v>64080.63</v>
      </c>
      <c r="D20" s="3">
        <v>64080.63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x14ac:dyDescent="0.3">
      <c r="A21" s="2" t="s">
        <v>50</v>
      </c>
      <c r="B21" s="2" t="s">
        <v>51</v>
      </c>
      <c r="C21" s="3">
        <v>58380.45</v>
      </c>
      <c r="D21" s="3">
        <v>58380.45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x14ac:dyDescent="0.3">
      <c r="A22" s="2" t="s">
        <v>52</v>
      </c>
      <c r="B22" s="2" t="s">
        <v>53</v>
      </c>
      <c r="C22" s="3">
        <v>15000</v>
      </c>
      <c r="D22" s="3">
        <v>6000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9000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x14ac:dyDescent="0.3">
      <c r="A23" s="2" t="s">
        <v>54</v>
      </c>
      <c r="B23" s="2" t="s">
        <v>55</v>
      </c>
      <c r="C23" s="3">
        <v>2175.0300000000002</v>
      </c>
      <c r="D23" s="3">
        <v>2175.0300000000002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x14ac:dyDescent="0.3">
      <c r="A24" s="2" t="s">
        <v>56</v>
      </c>
      <c r="B24" s="2" t="s">
        <v>57</v>
      </c>
      <c r="C24" s="3">
        <v>8800.0400000000009</v>
      </c>
      <c r="D24" s="3">
        <v>8800.0400000000009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5.6" x14ac:dyDescent="0.3">
      <c r="A25" s="5" t="s">
        <v>58</v>
      </c>
      <c r="B25" t="s">
        <v>43</v>
      </c>
      <c r="C25" s="1">
        <f t="shared" ref="C25:Y25" si="2">(+(C17)+(C18)+(C19)+(C20)+(C21)+(C22)+(C23)+(C24))</f>
        <v>2030529.58</v>
      </c>
      <c r="D25" s="1">
        <f t="shared" si="2"/>
        <v>2021529.58</v>
      </c>
      <c r="E25" s="1">
        <f t="shared" si="2"/>
        <v>0</v>
      </c>
      <c r="F25" s="1">
        <f t="shared" si="2"/>
        <v>0</v>
      </c>
      <c r="G25" s="1">
        <f t="shared" si="2"/>
        <v>0</v>
      </c>
      <c r="H25" s="1">
        <f t="shared" si="2"/>
        <v>0</v>
      </c>
      <c r="I25" s="1">
        <f t="shared" si="2"/>
        <v>0</v>
      </c>
      <c r="J25" s="1">
        <f t="shared" si="2"/>
        <v>0</v>
      </c>
      <c r="K25" s="1">
        <f t="shared" si="2"/>
        <v>0</v>
      </c>
      <c r="L25" s="1">
        <f t="shared" si="2"/>
        <v>0</v>
      </c>
      <c r="M25" s="1">
        <f t="shared" si="2"/>
        <v>0</v>
      </c>
      <c r="N25" s="1">
        <f t="shared" si="2"/>
        <v>0</v>
      </c>
      <c r="O25" s="1">
        <f t="shared" si="2"/>
        <v>0</v>
      </c>
      <c r="P25" s="1">
        <f t="shared" si="2"/>
        <v>0</v>
      </c>
      <c r="Q25" s="1">
        <f t="shared" si="2"/>
        <v>0</v>
      </c>
      <c r="R25" s="1">
        <f t="shared" si="2"/>
        <v>9000</v>
      </c>
      <c r="S25" s="1">
        <f t="shared" si="2"/>
        <v>0</v>
      </c>
      <c r="T25" s="1">
        <f t="shared" si="2"/>
        <v>0</v>
      </c>
      <c r="U25" s="1">
        <f t="shared" si="2"/>
        <v>0</v>
      </c>
      <c r="V25" s="1">
        <f t="shared" si="2"/>
        <v>0</v>
      </c>
      <c r="W25" s="1">
        <f t="shared" si="2"/>
        <v>0</v>
      </c>
      <c r="X25" s="1">
        <f t="shared" si="2"/>
        <v>0</v>
      </c>
      <c r="Y25" s="1">
        <f t="shared" si="2"/>
        <v>0</v>
      </c>
    </row>
    <row r="27" spans="1:25" x14ac:dyDescent="0.3">
      <c r="A27" s="2" t="s">
        <v>59</v>
      </c>
      <c r="B27" s="2" t="s">
        <v>60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x14ac:dyDescent="0.3">
      <c r="A28" s="2" t="s">
        <v>61</v>
      </c>
      <c r="B28" s="2" t="s">
        <v>62</v>
      </c>
      <c r="C28" s="3">
        <v>170154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170154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x14ac:dyDescent="0.3">
      <c r="A29" s="2" t="s">
        <v>63</v>
      </c>
      <c r="B29" s="2" t="s">
        <v>64</v>
      </c>
      <c r="C29" s="3">
        <v>539919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60000</v>
      </c>
      <c r="L29" s="3">
        <v>0</v>
      </c>
      <c r="M29" s="3">
        <v>123400</v>
      </c>
      <c r="N29" s="3">
        <v>20200</v>
      </c>
      <c r="O29" s="3">
        <v>0</v>
      </c>
      <c r="P29" s="3">
        <v>331719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4600</v>
      </c>
      <c r="W29" s="3">
        <v>0</v>
      </c>
      <c r="X29" s="3">
        <v>0</v>
      </c>
      <c r="Y29" s="3">
        <v>0</v>
      </c>
    </row>
    <row r="30" spans="1:25" x14ac:dyDescent="0.3">
      <c r="A30" s="2" t="s">
        <v>65</v>
      </c>
      <c r="B30" s="2" t="s">
        <v>66</v>
      </c>
      <c r="C30" s="3">
        <v>93767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4379</v>
      </c>
      <c r="N30" s="3">
        <v>0</v>
      </c>
      <c r="O30" s="3">
        <v>0</v>
      </c>
      <c r="P30" s="3">
        <v>75088</v>
      </c>
      <c r="Q30" s="3">
        <v>0</v>
      </c>
      <c r="R30" s="3">
        <v>0</v>
      </c>
      <c r="S30" s="3">
        <v>0</v>
      </c>
      <c r="T30" s="3">
        <v>3300</v>
      </c>
      <c r="U30" s="3">
        <v>0</v>
      </c>
      <c r="V30" s="3">
        <v>0</v>
      </c>
      <c r="W30" s="3">
        <v>11000</v>
      </c>
      <c r="X30" s="3">
        <v>0</v>
      </c>
      <c r="Y30" s="3">
        <v>0</v>
      </c>
    </row>
    <row r="31" spans="1:25" x14ac:dyDescent="0.3">
      <c r="A31" s="2" t="s">
        <v>67</v>
      </c>
      <c r="B31" s="2" t="s">
        <v>68</v>
      </c>
      <c r="C31" s="3">
        <v>1302451.23</v>
      </c>
      <c r="D31" s="3">
        <v>186753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9000</v>
      </c>
      <c r="L31" s="3">
        <v>25000</v>
      </c>
      <c r="M31" s="3">
        <v>180201</v>
      </c>
      <c r="N31" s="3">
        <v>586845</v>
      </c>
      <c r="O31" s="3">
        <v>0</v>
      </c>
      <c r="P31" s="3">
        <v>166328</v>
      </c>
      <c r="Q31" s="3">
        <v>14050</v>
      </c>
      <c r="R31" s="3">
        <v>38595.35</v>
      </c>
      <c r="S31" s="3">
        <v>40500</v>
      </c>
      <c r="T31" s="3">
        <v>27500</v>
      </c>
      <c r="U31" s="3">
        <v>0</v>
      </c>
      <c r="V31" s="3">
        <v>0</v>
      </c>
      <c r="W31" s="3">
        <v>3650</v>
      </c>
      <c r="X31" s="3">
        <v>24028.880000000001</v>
      </c>
      <c r="Y31" s="3">
        <v>0</v>
      </c>
    </row>
    <row r="32" spans="1:25" x14ac:dyDescent="0.3">
      <c r="A32" s="2" t="s">
        <v>69</v>
      </c>
      <c r="B32" s="2" t="s">
        <v>70</v>
      </c>
      <c r="C32" s="3">
        <v>41827.21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41827.21</v>
      </c>
      <c r="Y32" s="3">
        <v>0</v>
      </c>
    </row>
    <row r="33" spans="1:25" x14ac:dyDescent="0.3">
      <c r="A33" s="2" t="s">
        <v>71</v>
      </c>
      <c r="B33" s="2" t="s">
        <v>72</v>
      </c>
      <c r="C33" s="3">
        <v>26250.25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6723.25</v>
      </c>
      <c r="N33" s="3">
        <v>0</v>
      </c>
      <c r="O33" s="3">
        <v>0</v>
      </c>
      <c r="P33" s="3">
        <v>8800</v>
      </c>
      <c r="Q33" s="3">
        <v>2000</v>
      </c>
      <c r="R33" s="3">
        <v>5227</v>
      </c>
      <c r="S33" s="3">
        <v>0</v>
      </c>
      <c r="T33" s="3">
        <v>1700</v>
      </c>
      <c r="U33" s="3">
        <v>0</v>
      </c>
      <c r="V33" s="3">
        <v>0</v>
      </c>
      <c r="W33" s="3">
        <v>1550</v>
      </c>
      <c r="X33" s="3">
        <v>250</v>
      </c>
      <c r="Y33" s="3">
        <v>0</v>
      </c>
    </row>
    <row r="34" spans="1:25" x14ac:dyDescent="0.3">
      <c r="A34" s="2" t="s">
        <v>73</v>
      </c>
      <c r="B34" s="2" t="s">
        <v>74</v>
      </c>
      <c r="C34" s="3">
        <v>11432735.57</v>
      </c>
      <c r="D34" s="3">
        <v>122673.73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5519401.2000000002</v>
      </c>
      <c r="K34" s="3">
        <v>225000</v>
      </c>
      <c r="L34" s="3">
        <v>387500</v>
      </c>
      <c r="M34" s="3">
        <v>0</v>
      </c>
      <c r="N34" s="3">
        <v>426343.7</v>
      </c>
      <c r="O34" s="3">
        <v>3424735.31</v>
      </c>
      <c r="P34" s="3">
        <v>0</v>
      </c>
      <c r="Q34" s="3">
        <v>135896.63</v>
      </c>
      <c r="R34" s="3">
        <v>1191185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x14ac:dyDescent="0.3">
      <c r="A35" s="2" t="s">
        <v>75</v>
      </c>
      <c r="B35" s="2" t="s">
        <v>76</v>
      </c>
      <c r="C35" s="3">
        <v>191984.35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2150</v>
      </c>
      <c r="L35" s="3">
        <v>188804.35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1030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x14ac:dyDescent="0.3">
      <c r="A36" s="2" t="s">
        <v>77</v>
      </c>
      <c r="B36" s="2" t="s">
        <v>78</v>
      </c>
      <c r="C36" s="3">
        <v>139924.9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139924.9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x14ac:dyDescent="0.3">
      <c r="A37" s="2" t="s">
        <v>79</v>
      </c>
      <c r="B37" s="2" t="s">
        <v>80</v>
      </c>
      <c r="C37" s="3">
        <v>22146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18250</v>
      </c>
      <c r="R37" s="3">
        <v>0</v>
      </c>
      <c r="S37" s="3">
        <v>0</v>
      </c>
      <c r="T37" s="3">
        <v>3896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x14ac:dyDescent="0.3">
      <c r="A38" s="2" t="s">
        <v>81</v>
      </c>
      <c r="B38" s="2" t="s">
        <v>82</v>
      </c>
      <c r="C38" s="3">
        <v>2800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2800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x14ac:dyDescent="0.3">
      <c r="A39" s="2" t="s">
        <v>83</v>
      </c>
      <c r="B39" s="2" t="s">
        <v>84</v>
      </c>
      <c r="C39" s="3">
        <v>3554.98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2985.98</v>
      </c>
      <c r="R39" s="3">
        <v>0</v>
      </c>
      <c r="S39" s="3">
        <v>0</v>
      </c>
      <c r="T39" s="3">
        <v>569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x14ac:dyDescent="0.3">
      <c r="A40" s="2" t="s">
        <v>85</v>
      </c>
      <c r="B40" s="2" t="s">
        <v>86</v>
      </c>
      <c r="C40" s="3">
        <v>19244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19244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x14ac:dyDescent="0.3">
      <c r="A41" s="2" t="s">
        <v>87</v>
      </c>
      <c r="B41" s="2" t="s">
        <v>88</v>
      </c>
      <c r="C41" s="3">
        <v>2220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2220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x14ac:dyDescent="0.3">
      <c r="A42" s="2" t="s">
        <v>89</v>
      </c>
      <c r="B42" s="2" t="s">
        <v>90</v>
      </c>
      <c r="C42" s="3">
        <v>184165.46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19845</v>
      </c>
      <c r="N42" s="3">
        <v>81414.62</v>
      </c>
      <c r="O42" s="3">
        <v>0</v>
      </c>
      <c r="P42" s="3">
        <v>78044.070000000007</v>
      </c>
      <c r="Q42" s="3">
        <v>0</v>
      </c>
      <c r="R42" s="3">
        <v>0</v>
      </c>
      <c r="S42" s="3">
        <v>0</v>
      </c>
      <c r="T42" s="3">
        <v>4582.4399999999996</v>
      </c>
      <c r="U42" s="3">
        <v>0</v>
      </c>
      <c r="V42" s="3">
        <v>0</v>
      </c>
      <c r="W42" s="3">
        <v>0</v>
      </c>
      <c r="X42" s="3">
        <v>279.33</v>
      </c>
      <c r="Y42" s="3">
        <v>0</v>
      </c>
    </row>
    <row r="43" spans="1:25" x14ac:dyDescent="0.3">
      <c r="A43" s="2" t="s">
        <v>91</v>
      </c>
      <c r="B43" s="2" t="s">
        <v>92</v>
      </c>
      <c r="C43" s="3">
        <v>800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800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x14ac:dyDescent="0.3">
      <c r="A44" s="2" t="s">
        <v>93</v>
      </c>
      <c r="B44" s="2" t="s">
        <v>94</v>
      </c>
      <c r="C44" s="3">
        <v>42978.83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20750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22228.83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x14ac:dyDescent="0.3">
      <c r="A45" s="2" t="s">
        <v>95</v>
      </c>
      <c r="B45" s="2" t="s">
        <v>96</v>
      </c>
      <c r="C45" s="3">
        <v>39930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4600</v>
      </c>
      <c r="L45" s="3">
        <v>0</v>
      </c>
      <c r="M45" s="3">
        <v>7935</v>
      </c>
      <c r="N45" s="3">
        <v>27395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x14ac:dyDescent="0.3">
      <c r="A46" s="2" t="s">
        <v>97</v>
      </c>
      <c r="B46" s="2" t="s">
        <v>98</v>
      </c>
      <c r="C46" s="3">
        <v>182588.38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176550.88</v>
      </c>
      <c r="O46" s="3">
        <v>0</v>
      </c>
      <c r="P46" s="3">
        <v>0</v>
      </c>
      <c r="Q46" s="3">
        <v>0</v>
      </c>
      <c r="R46" s="3">
        <v>6037.5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x14ac:dyDescent="0.3">
      <c r="A47" s="2" t="s">
        <v>99</v>
      </c>
      <c r="B47" s="2" t="s">
        <v>100</v>
      </c>
      <c r="C47" s="3">
        <v>2220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1800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420</v>
      </c>
      <c r="X47" s="3">
        <v>0</v>
      </c>
      <c r="Y47" s="3">
        <v>0</v>
      </c>
    </row>
    <row r="48" spans="1:25" x14ac:dyDescent="0.3">
      <c r="A48" s="2" t="s">
        <v>101</v>
      </c>
      <c r="B48" s="2" t="s">
        <v>102</v>
      </c>
      <c r="C48" s="3">
        <v>2478.9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565.23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1913.67</v>
      </c>
      <c r="X48" s="3">
        <v>0</v>
      </c>
      <c r="Y48" s="3">
        <v>0</v>
      </c>
    </row>
    <row r="49" spans="1:25" x14ac:dyDescent="0.3">
      <c r="A49" s="2" t="s">
        <v>103</v>
      </c>
      <c r="B49" s="2" t="s">
        <v>104</v>
      </c>
      <c r="C49" s="3">
        <v>125250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125250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x14ac:dyDescent="0.3">
      <c r="A50" s="2" t="s">
        <v>105</v>
      </c>
      <c r="B50" s="2" t="s">
        <v>106</v>
      </c>
      <c r="C50" s="3">
        <v>206822.15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5361</v>
      </c>
      <c r="M50" s="3">
        <v>0</v>
      </c>
      <c r="N50" s="3">
        <v>108464.35</v>
      </c>
      <c r="O50" s="3">
        <v>0</v>
      </c>
      <c r="P50" s="3">
        <v>0</v>
      </c>
      <c r="Q50" s="3">
        <v>6100</v>
      </c>
      <c r="R50" s="3">
        <v>76031.210000000006</v>
      </c>
      <c r="S50" s="3">
        <v>0</v>
      </c>
      <c r="T50" s="3">
        <v>10865.59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x14ac:dyDescent="0.3">
      <c r="A51" s="2" t="s">
        <v>107</v>
      </c>
      <c r="B51" s="2" t="s">
        <v>108</v>
      </c>
      <c r="C51" s="3">
        <v>133500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2000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127000</v>
      </c>
      <c r="S51" s="3">
        <v>0</v>
      </c>
      <c r="T51" s="3">
        <v>2500</v>
      </c>
      <c r="U51" s="3">
        <v>0</v>
      </c>
      <c r="V51" s="3">
        <v>0</v>
      </c>
      <c r="W51" s="3">
        <v>2000</v>
      </c>
      <c r="X51" s="3">
        <v>0</v>
      </c>
      <c r="Y51" s="3">
        <v>0</v>
      </c>
    </row>
    <row r="52" spans="1:25" x14ac:dyDescent="0.3">
      <c r="A52" s="2" t="s">
        <v>109</v>
      </c>
      <c r="B52" s="2" t="s">
        <v>110</v>
      </c>
      <c r="C52" s="3">
        <v>7200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5000</v>
      </c>
      <c r="U52" s="3">
        <v>0</v>
      </c>
      <c r="V52" s="3">
        <v>0</v>
      </c>
      <c r="W52" s="3">
        <v>2200</v>
      </c>
      <c r="X52" s="3">
        <v>0</v>
      </c>
      <c r="Y52" s="3">
        <v>0</v>
      </c>
    </row>
    <row r="53" spans="1:25" x14ac:dyDescent="0.3">
      <c r="A53" s="2" t="s">
        <v>111</v>
      </c>
      <c r="B53" s="2" t="s">
        <v>112</v>
      </c>
      <c r="C53" s="3">
        <v>2500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1000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1500</v>
      </c>
      <c r="X53" s="3">
        <v>0</v>
      </c>
      <c r="Y53" s="3">
        <v>0</v>
      </c>
    </row>
    <row r="54" spans="1:25" x14ac:dyDescent="0.3">
      <c r="A54" s="2" t="s">
        <v>113</v>
      </c>
      <c r="B54" s="2" t="s">
        <v>114</v>
      </c>
      <c r="C54" s="3">
        <v>3800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3800</v>
      </c>
      <c r="X54" s="3">
        <v>0</v>
      </c>
      <c r="Y54" s="3">
        <v>0</v>
      </c>
    </row>
    <row r="55" spans="1:25" x14ac:dyDescent="0.3">
      <c r="A55" s="2" t="s">
        <v>115</v>
      </c>
      <c r="B55" s="2" t="s">
        <v>116</v>
      </c>
      <c r="C55" s="3">
        <v>26798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18500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8298</v>
      </c>
      <c r="W55" s="3">
        <v>0</v>
      </c>
      <c r="X55" s="3">
        <v>0</v>
      </c>
      <c r="Y55" s="3">
        <v>0</v>
      </c>
    </row>
    <row r="56" spans="1:25" x14ac:dyDescent="0.3">
      <c r="A56" s="2" t="s">
        <v>117</v>
      </c>
      <c r="B56" s="2" t="s">
        <v>118</v>
      </c>
      <c r="C56" s="3">
        <v>950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950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x14ac:dyDescent="0.3">
      <c r="A57" s="2" t="s">
        <v>119</v>
      </c>
      <c r="B57" s="2" t="s">
        <v>120</v>
      </c>
      <c r="C57" s="3">
        <v>27412.17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8000</v>
      </c>
      <c r="L57" s="3">
        <v>15652.17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3760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x14ac:dyDescent="0.3">
      <c r="A58" s="2" t="s">
        <v>121</v>
      </c>
      <c r="B58" s="2" t="s">
        <v>122</v>
      </c>
      <c r="C58" s="3">
        <v>5350.5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2775</v>
      </c>
      <c r="S58" s="3">
        <v>0</v>
      </c>
      <c r="T58" s="3">
        <v>0</v>
      </c>
      <c r="U58" s="3">
        <v>0</v>
      </c>
      <c r="V58" s="3">
        <v>0</v>
      </c>
      <c r="W58" s="3">
        <v>2575.5</v>
      </c>
      <c r="X58" s="3">
        <v>0</v>
      </c>
      <c r="Y58" s="3">
        <v>0</v>
      </c>
    </row>
    <row r="59" spans="1:25" x14ac:dyDescent="0.3">
      <c r="A59" s="2" t="s">
        <v>123</v>
      </c>
      <c r="B59" s="2" t="s">
        <v>124</v>
      </c>
      <c r="C59" s="3">
        <v>327541.8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2313.8000000000002</v>
      </c>
      <c r="L59" s="3">
        <v>0</v>
      </c>
      <c r="M59" s="3">
        <v>0</v>
      </c>
      <c r="N59" s="3">
        <v>3500</v>
      </c>
      <c r="O59" s="3">
        <v>0</v>
      </c>
      <c r="P59" s="3">
        <v>840</v>
      </c>
      <c r="Q59" s="3">
        <v>305198</v>
      </c>
      <c r="R59" s="3">
        <v>11850</v>
      </c>
      <c r="S59" s="3">
        <v>0</v>
      </c>
      <c r="T59" s="3">
        <v>0</v>
      </c>
      <c r="U59" s="3">
        <v>0</v>
      </c>
      <c r="V59" s="3">
        <v>0</v>
      </c>
      <c r="W59" s="3">
        <v>3840</v>
      </c>
      <c r="X59" s="3">
        <v>0</v>
      </c>
      <c r="Y59" s="3">
        <v>0</v>
      </c>
    </row>
    <row r="60" spans="1:25" x14ac:dyDescent="0.3">
      <c r="A60" s="2" t="s">
        <v>125</v>
      </c>
      <c r="B60" s="2" t="s">
        <v>126</v>
      </c>
      <c r="C60" s="3">
        <v>1470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1470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x14ac:dyDescent="0.3">
      <c r="A61" s="2" t="s">
        <v>127</v>
      </c>
      <c r="B61" s="2" t="s">
        <v>128</v>
      </c>
      <c r="C61" s="3">
        <v>5430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3750</v>
      </c>
      <c r="Q61" s="3">
        <v>0</v>
      </c>
      <c r="R61" s="3">
        <v>0</v>
      </c>
      <c r="S61" s="3">
        <v>0</v>
      </c>
      <c r="T61" s="3">
        <v>1680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x14ac:dyDescent="0.3">
      <c r="A62" s="2" t="s">
        <v>129</v>
      </c>
      <c r="B62" s="2" t="s">
        <v>130</v>
      </c>
      <c r="C62" s="3">
        <v>90000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90000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x14ac:dyDescent="0.3">
      <c r="A63" s="2" t="s">
        <v>131</v>
      </c>
      <c r="B63" s="2" t="s">
        <v>132</v>
      </c>
      <c r="C63" s="3">
        <v>217706.3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2152</v>
      </c>
      <c r="N63" s="3">
        <v>19651.5</v>
      </c>
      <c r="O63" s="3">
        <v>0</v>
      </c>
      <c r="P63" s="3">
        <v>5285.4</v>
      </c>
      <c r="Q63" s="3">
        <v>0</v>
      </c>
      <c r="R63" s="3">
        <v>183417.4</v>
      </c>
      <c r="S63" s="3">
        <v>0</v>
      </c>
      <c r="T63" s="3">
        <v>0</v>
      </c>
      <c r="U63" s="3">
        <v>0</v>
      </c>
      <c r="V63" s="3">
        <v>0</v>
      </c>
      <c r="W63" s="3">
        <v>7200</v>
      </c>
      <c r="X63" s="3">
        <v>0</v>
      </c>
      <c r="Y63" s="3">
        <v>0</v>
      </c>
    </row>
    <row r="64" spans="1:25" x14ac:dyDescent="0.3">
      <c r="A64" s="2" t="s">
        <v>133</v>
      </c>
      <c r="B64" s="2" t="s">
        <v>134</v>
      </c>
      <c r="C64" s="3">
        <v>270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270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x14ac:dyDescent="0.3">
      <c r="A65" s="2" t="s">
        <v>135</v>
      </c>
      <c r="B65" s="2" t="s">
        <v>136</v>
      </c>
      <c r="C65" s="3">
        <v>540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540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x14ac:dyDescent="0.3">
      <c r="A66" s="2" t="s">
        <v>137</v>
      </c>
      <c r="B66" s="2" t="s">
        <v>138</v>
      </c>
      <c r="C66" s="3">
        <v>6000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6000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x14ac:dyDescent="0.3">
      <c r="A67" s="2" t="s">
        <v>139</v>
      </c>
      <c r="B67" s="2" t="s">
        <v>140</v>
      </c>
      <c r="C67" s="3">
        <v>6400</v>
      </c>
      <c r="D67" s="3">
        <v>620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5780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x14ac:dyDescent="0.3">
      <c r="A68" s="2" t="s">
        <v>141</v>
      </c>
      <c r="B68" s="2" t="s">
        <v>142</v>
      </c>
      <c r="C68" s="3">
        <v>12695.28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3667</v>
      </c>
      <c r="U68" s="3">
        <v>0</v>
      </c>
      <c r="V68" s="3">
        <v>0</v>
      </c>
      <c r="W68" s="3">
        <v>0</v>
      </c>
      <c r="X68" s="3">
        <v>9028.2800000000007</v>
      </c>
      <c r="Y68" s="3">
        <v>0</v>
      </c>
    </row>
    <row r="69" spans="1:25" x14ac:dyDescent="0.3">
      <c r="A69" s="2" t="s">
        <v>143</v>
      </c>
      <c r="B69" s="2" t="s">
        <v>144</v>
      </c>
      <c r="C69" s="3">
        <v>8554.7800000000007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8554.7800000000007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x14ac:dyDescent="0.3">
      <c r="A70" s="2" t="s">
        <v>145</v>
      </c>
      <c r="B70" s="2" t="s">
        <v>146</v>
      </c>
      <c r="C70" s="3">
        <v>895828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3300</v>
      </c>
      <c r="Q70" s="3">
        <v>78478</v>
      </c>
      <c r="R70" s="3">
        <v>814050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x14ac:dyDescent="0.3">
      <c r="A71" s="2" t="s">
        <v>147</v>
      </c>
      <c r="B71" s="2" t="s">
        <v>148</v>
      </c>
      <c r="C71" s="3">
        <v>88318.7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88318.7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x14ac:dyDescent="0.3">
      <c r="A72" s="2" t="s">
        <v>149</v>
      </c>
      <c r="B72" s="2" t="s">
        <v>150</v>
      </c>
      <c r="C72" s="3">
        <v>500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500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x14ac:dyDescent="0.3">
      <c r="A73" s="2" t="s">
        <v>151</v>
      </c>
      <c r="B73" s="2" t="s">
        <v>152</v>
      </c>
      <c r="C73" s="3">
        <v>308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88</v>
      </c>
      <c r="S73" s="3">
        <v>0</v>
      </c>
      <c r="T73" s="3">
        <v>0</v>
      </c>
      <c r="U73" s="3">
        <v>0</v>
      </c>
      <c r="V73" s="3">
        <v>0</v>
      </c>
      <c r="W73" s="3">
        <v>220</v>
      </c>
      <c r="X73" s="3">
        <v>0</v>
      </c>
      <c r="Y73" s="3">
        <v>0</v>
      </c>
    </row>
    <row r="74" spans="1:25" x14ac:dyDescent="0.3">
      <c r="A74" s="2" t="s">
        <v>153</v>
      </c>
      <c r="B74" s="2" t="s">
        <v>154</v>
      </c>
      <c r="C74" s="3">
        <v>5321.93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1153.44</v>
      </c>
      <c r="P74" s="3">
        <v>0</v>
      </c>
      <c r="Q74" s="3">
        <v>0</v>
      </c>
      <c r="R74" s="3">
        <v>4168.49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1:25" x14ac:dyDescent="0.3">
      <c r="A75" s="2" t="s">
        <v>155</v>
      </c>
      <c r="B75" s="2" t="s">
        <v>156</v>
      </c>
      <c r="C75" s="3">
        <v>35234.78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30434.78</v>
      </c>
      <c r="M75" s="3">
        <v>0</v>
      </c>
      <c r="N75" s="3">
        <v>4800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1:25" x14ac:dyDescent="0.3">
      <c r="A76" s="2" t="s">
        <v>157</v>
      </c>
      <c r="B76" s="2" t="s">
        <v>158</v>
      </c>
      <c r="C76" s="3">
        <v>4298.5200000000004</v>
      </c>
      <c r="D76" s="3">
        <v>949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16.53</v>
      </c>
      <c r="O76" s="3">
        <v>0</v>
      </c>
      <c r="P76" s="3">
        <v>0</v>
      </c>
      <c r="Q76" s="3">
        <v>0</v>
      </c>
      <c r="R76" s="3">
        <v>1000</v>
      </c>
      <c r="S76" s="3">
        <v>0</v>
      </c>
      <c r="T76" s="3">
        <v>2332.9899999999998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 spans="1:25" x14ac:dyDescent="0.3">
      <c r="A77" s="2" t="s">
        <v>159</v>
      </c>
      <c r="B77" s="2" t="s">
        <v>160</v>
      </c>
      <c r="C77" s="3">
        <v>86661.6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69661.600000000006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17000</v>
      </c>
      <c r="Y77" s="3">
        <v>0</v>
      </c>
    </row>
    <row r="78" spans="1:25" x14ac:dyDescent="0.3">
      <c r="A78" s="2" t="s">
        <v>161</v>
      </c>
      <c r="B78" s="2" t="s">
        <v>162</v>
      </c>
      <c r="C78" s="3">
        <v>17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17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 spans="1:25" ht="15.6" x14ac:dyDescent="0.3">
      <c r="A79" s="5" t="s">
        <v>163</v>
      </c>
      <c r="B79" t="s">
        <v>60</v>
      </c>
      <c r="C79" s="1">
        <f t="shared" ref="C79:Y79" si="3">(+(C27)+(C28)+(C29)+(C30)+(C31)+(C32)+(C33)+(C34)+(C35)+(C36)+(C37)+(C38)+(C39)+(C40)+(C41)+(C42)+(C43)+(C44)+(C45)+(C46)+(C47)+(C48)+(C49)+(C50)+(C51)+(C52)+(C53)+(C54)+(C55)+(C56)+(C57)+(C58)+(C59)+(C60)+(C61)+(C62)+(C63)+(C64)+(C65)+(C66)+(C67)+(C68)+(C69)+(C70)+(C71)+(C72)+(C73)+(C74)+(C75)+(C76)+(C77)+(C78))</f>
        <v>16776819.57</v>
      </c>
      <c r="D79" s="1">
        <f t="shared" si="3"/>
        <v>310995.73</v>
      </c>
      <c r="E79" s="1">
        <f t="shared" si="3"/>
        <v>0</v>
      </c>
      <c r="F79" s="1">
        <f t="shared" si="3"/>
        <v>0</v>
      </c>
      <c r="G79" s="1">
        <f t="shared" si="3"/>
        <v>0</v>
      </c>
      <c r="H79" s="1">
        <f t="shared" si="3"/>
        <v>0</v>
      </c>
      <c r="I79" s="1">
        <f t="shared" si="3"/>
        <v>0</v>
      </c>
      <c r="J79" s="1">
        <f t="shared" si="3"/>
        <v>5519401.2000000002</v>
      </c>
      <c r="K79" s="1">
        <f t="shared" si="3"/>
        <v>316283.8</v>
      </c>
      <c r="L79" s="1">
        <f t="shared" si="3"/>
        <v>671252.3</v>
      </c>
      <c r="M79" s="1">
        <f t="shared" si="3"/>
        <v>344635.25</v>
      </c>
      <c r="N79" s="1">
        <f t="shared" si="3"/>
        <v>1490266.3599999999</v>
      </c>
      <c r="O79" s="1">
        <f t="shared" si="3"/>
        <v>3425888.75</v>
      </c>
      <c r="P79" s="1">
        <f t="shared" si="3"/>
        <v>1030129.37</v>
      </c>
      <c r="Q79" s="1">
        <f t="shared" si="3"/>
        <v>634655.44000000006</v>
      </c>
      <c r="R79" s="1">
        <f t="shared" si="3"/>
        <v>2744351.6500000004</v>
      </c>
      <c r="S79" s="1">
        <f t="shared" si="3"/>
        <v>41040</v>
      </c>
      <c r="T79" s="1">
        <f t="shared" si="3"/>
        <v>100738.85</v>
      </c>
      <c r="U79" s="1">
        <f t="shared" si="3"/>
        <v>0</v>
      </c>
      <c r="V79" s="1">
        <f t="shared" si="3"/>
        <v>12898</v>
      </c>
      <c r="W79" s="1">
        <f t="shared" si="3"/>
        <v>41869.17</v>
      </c>
      <c r="X79" s="1">
        <f t="shared" si="3"/>
        <v>92413.7</v>
      </c>
      <c r="Y79" s="1">
        <f t="shared" si="3"/>
        <v>0</v>
      </c>
    </row>
    <row r="81" spans="1:25" ht="15.6" x14ac:dyDescent="0.3">
      <c r="A81" s="5" t="s">
        <v>164</v>
      </c>
      <c r="B81" t="s">
        <v>41</v>
      </c>
      <c r="C81" s="1">
        <f t="shared" ref="C81:Y81" si="4">(+(C16)+(C25)+(C79))</f>
        <v>18807349.149999999</v>
      </c>
      <c r="D81" s="1">
        <f t="shared" si="4"/>
        <v>2332525.31</v>
      </c>
      <c r="E81" s="1">
        <f t="shared" si="4"/>
        <v>0</v>
      </c>
      <c r="F81" s="1">
        <f t="shared" si="4"/>
        <v>0</v>
      </c>
      <c r="G81" s="1">
        <f t="shared" si="4"/>
        <v>0</v>
      </c>
      <c r="H81" s="1">
        <f t="shared" si="4"/>
        <v>0</v>
      </c>
      <c r="I81" s="1">
        <f t="shared" si="4"/>
        <v>0</v>
      </c>
      <c r="J81" s="1">
        <f t="shared" si="4"/>
        <v>5519401.2000000002</v>
      </c>
      <c r="K81" s="1">
        <f t="shared" si="4"/>
        <v>316283.8</v>
      </c>
      <c r="L81" s="1">
        <f t="shared" si="4"/>
        <v>671252.3</v>
      </c>
      <c r="M81" s="1">
        <f t="shared" si="4"/>
        <v>344635.25</v>
      </c>
      <c r="N81" s="1">
        <f t="shared" si="4"/>
        <v>1490266.3599999999</v>
      </c>
      <c r="O81" s="1">
        <f t="shared" si="4"/>
        <v>3425888.75</v>
      </c>
      <c r="P81" s="1">
        <f t="shared" si="4"/>
        <v>1030129.37</v>
      </c>
      <c r="Q81" s="1">
        <f t="shared" si="4"/>
        <v>634655.44000000006</v>
      </c>
      <c r="R81" s="1">
        <f t="shared" si="4"/>
        <v>2753351.6500000004</v>
      </c>
      <c r="S81" s="1">
        <f t="shared" si="4"/>
        <v>41040</v>
      </c>
      <c r="T81" s="1">
        <f t="shared" si="4"/>
        <v>100738.85</v>
      </c>
      <c r="U81" s="1">
        <f t="shared" si="4"/>
        <v>0</v>
      </c>
      <c r="V81" s="1">
        <f t="shared" si="4"/>
        <v>12898</v>
      </c>
      <c r="W81" s="1">
        <f t="shared" si="4"/>
        <v>41869.17</v>
      </c>
      <c r="X81" s="1">
        <f t="shared" si="4"/>
        <v>92413.7</v>
      </c>
      <c r="Y81" s="1">
        <f t="shared" si="4"/>
        <v>0</v>
      </c>
    </row>
    <row r="83" spans="1:25" ht="15.6" x14ac:dyDescent="0.3">
      <c r="A83" s="5" t="s">
        <v>165</v>
      </c>
      <c r="B83" t="s">
        <v>1</v>
      </c>
      <c r="C83" s="1">
        <f t="shared" ref="C83:Y83" si="5">(+(C81))</f>
        <v>18807349.149999999</v>
      </c>
      <c r="D83" s="1">
        <f t="shared" si="5"/>
        <v>2332525.31</v>
      </c>
      <c r="E83" s="1">
        <f t="shared" si="5"/>
        <v>0</v>
      </c>
      <c r="F83" s="1">
        <f t="shared" si="5"/>
        <v>0</v>
      </c>
      <c r="G83" s="1">
        <f t="shared" si="5"/>
        <v>0</v>
      </c>
      <c r="H83" s="1">
        <f t="shared" si="5"/>
        <v>0</v>
      </c>
      <c r="I83" s="1">
        <f t="shared" si="5"/>
        <v>0</v>
      </c>
      <c r="J83" s="1">
        <f t="shared" si="5"/>
        <v>5519401.2000000002</v>
      </c>
      <c r="K83" s="1">
        <f t="shared" si="5"/>
        <v>316283.8</v>
      </c>
      <c r="L83" s="1">
        <f t="shared" si="5"/>
        <v>671252.3</v>
      </c>
      <c r="M83" s="1">
        <f t="shared" si="5"/>
        <v>344635.25</v>
      </c>
      <c r="N83" s="1">
        <f t="shared" si="5"/>
        <v>1490266.3599999999</v>
      </c>
      <c r="O83" s="1">
        <f t="shared" si="5"/>
        <v>3425888.75</v>
      </c>
      <c r="P83" s="1">
        <f t="shared" si="5"/>
        <v>1030129.37</v>
      </c>
      <c r="Q83" s="1">
        <f t="shared" si="5"/>
        <v>634655.44000000006</v>
      </c>
      <c r="R83" s="1">
        <f t="shared" si="5"/>
        <v>2753351.6500000004</v>
      </c>
      <c r="S83" s="1">
        <f t="shared" si="5"/>
        <v>41040</v>
      </c>
      <c r="T83" s="1">
        <f t="shared" si="5"/>
        <v>100738.85</v>
      </c>
      <c r="U83" s="1">
        <f t="shared" si="5"/>
        <v>0</v>
      </c>
      <c r="V83" s="1">
        <f t="shared" si="5"/>
        <v>12898</v>
      </c>
      <c r="W83" s="1">
        <f t="shared" si="5"/>
        <v>41869.17</v>
      </c>
      <c r="X83" s="1">
        <f t="shared" si="5"/>
        <v>92413.7</v>
      </c>
      <c r="Y83" s="1">
        <f t="shared" si="5"/>
        <v>0</v>
      </c>
    </row>
    <row r="85" spans="1:25" ht="15.6" x14ac:dyDescent="0.3">
      <c r="A85" s="1" t="s">
        <v>166</v>
      </c>
      <c r="B85" t="s">
        <v>1</v>
      </c>
      <c r="C85" s="1">
        <f t="shared" ref="C85:Y85" si="6">((+(C11))-(+(C81)))</f>
        <v>10199237.910000004</v>
      </c>
      <c r="D85" s="1">
        <f t="shared" si="6"/>
        <v>-2332525.31</v>
      </c>
      <c r="E85" s="1">
        <f t="shared" si="6"/>
        <v>0</v>
      </c>
      <c r="F85" s="1">
        <f t="shared" si="6"/>
        <v>0</v>
      </c>
      <c r="G85" s="1">
        <f t="shared" si="6"/>
        <v>0</v>
      </c>
      <c r="H85" s="1">
        <f t="shared" si="6"/>
        <v>0</v>
      </c>
      <c r="I85" s="1">
        <f t="shared" si="6"/>
        <v>0</v>
      </c>
      <c r="J85" s="1">
        <f t="shared" si="6"/>
        <v>415438.79999999981</v>
      </c>
      <c r="K85" s="1">
        <f t="shared" si="6"/>
        <v>753716.2</v>
      </c>
      <c r="L85" s="1">
        <f t="shared" si="6"/>
        <v>1440537.3</v>
      </c>
      <c r="M85" s="1">
        <f t="shared" si="6"/>
        <v>825364.75</v>
      </c>
      <c r="N85" s="1">
        <f t="shared" si="6"/>
        <v>-952540.65999999992</v>
      </c>
      <c r="O85" s="1">
        <f t="shared" si="6"/>
        <v>3132652.92</v>
      </c>
      <c r="P85" s="1">
        <f t="shared" si="6"/>
        <v>519870.63</v>
      </c>
      <c r="Q85" s="1">
        <f t="shared" si="6"/>
        <v>1525969.3599999999</v>
      </c>
      <c r="R85" s="1">
        <f t="shared" si="6"/>
        <v>104900.90999999968</v>
      </c>
      <c r="S85" s="1">
        <f t="shared" si="6"/>
        <v>-41040</v>
      </c>
      <c r="T85" s="1">
        <f t="shared" si="6"/>
        <v>-7126.1200000000099</v>
      </c>
      <c r="U85" s="1">
        <f t="shared" si="6"/>
        <v>0</v>
      </c>
      <c r="V85" s="1">
        <f t="shared" si="6"/>
        <v>4948302</v>
      </c>
      <c r="W85" s="1">
        <f t="shared" si="6"/>
        <v>-41869.17</v>
      </c>
      <c r="X85" s="1">
        <f t="shared" si="6"/>
        <v>-92413.7</v>
      </c>
      <c r="Y85" s="1">
        <f t="shared" si="6"/>
        <v>0</v>
      </c>
    </row>
    <row r="87" spans="1:25" x14ac:dyDescent="0.3">
      <c r="A87" s="2" t="s">
        <v>167</v>
      </c>
      <c r="B87" s="2" t="s">
        <v>1</v>
      </c>
      <c r="C87" s="9" t="s">
        <v>1</v>
      </c>
      <c r="D87" s="9" t="s">
        <v>1</v>
      </c>
      <c r="E87" s="9" t="s">
        <v>1</v>
      </c>
      <c r="F87" s="9" t="s">
        <v>1</v>
      </c>
      <c r="G87" s="9" t="s">
        <v>1</v>
      </c>
      <c r="H87" s="9" t="s">
        <v>1</v>
      </c>
      <c r="I87" s="9" t="s">
        <v>1</v>
      </c>
      <c r="J87" s="9" t="s">
        <v>1</v>
      </c>
      <c r="K87" s="9" t="s">
        <v>1</v>
      </c>
      <c r="L87" s="9" t="s">
        <v>1</v>
      </c>
      <c r="M87" s="9" t="s">
        <v>1</v>
      </c>
      <c r="N87" s="9" t="s">
        <v>1</v>
      </c>
      <c r="O87" s="9" t="s">
        <v>1</v>
      </c>
      <c r="P87" s="9" t="s">
        <v>1</v>
      </c>
      <c r="Q87" s="9" t="s">
        <v>1</v>
      </c>
      <c r="R87" s="9" t="s">
        <v>1</v>
      </c>
      <c r="S87" s="9" t="s">
        <v>1</v>
      </c>
      <c r="T87" s="9" t="s">
        <v>1</v>
      </c>
      <c r="U87" s="9" t="s">
        <v>1</v>
      </c>
      <c r="V87" s="9" t="s">
        <v>1</v>
      </c>
      <c r="W87" s="9" t="s">
        <v>1</v>
      </c>
      <c r="X87" s="9" t="s">
        <v>1</v>
      </c>
      <c r="Y87" s="9" t="s">
        <v>1</v>
      </c>
    </row>
    <row r="88" spans="1:25" x14ac:dyDescent="0.3">
      <c r="A88" s="2" t="s">
        <v>168</v>
      </c>
      <c r="B88" s="2" t="s">
        <v>1</v>
      </c>
      <c r="C88" s="3">
        <v>-274.5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-274.5</v>
      </c>
    </row>
    <row r="89" spans="1:25" x14ac:dyDescent="0.3">
      <c r="A89" s="2" t="s">
        <v>169</v>
      </c>
      <c r="B89" s="2" t="s">
        <v>170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1:25" x14ac:dyDescent="0.3">
      <c r="A90" s="2" t="s">
        <v>171</v>
      </c>
      <c r="B90" s="2" t="s">
        <v>172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 spans="1:25" x14ac:dyDescent="0.3">
      <c r="A91" s="2" t="s">
        <v>173</v>
      </c>
      <c r="B91" s="2" t="s">
        <v>174</v>
      </c>
      <c r="C91" s="3">
        <v>450000</v>
      </c>
      <c r="D91" s="3">
        <v>0</v>
      </c>
      <c r="E91" s="3">
        <v>450000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1:25" x14ac:dyDescent="0.3">
      <c r="A92" s="2" t="s">
        <v>175</v>
      </c>
      <c r="B92" s="2" t="s">
        <v>176</v>
      </c>
      <c r="C92" s="3">
        <v>68429.119999999995</v>
      </c>
      <c r="D92" s="3">
        <v>0</v>
      </c>
      <c r="E92" s="3">
        <v>62465.89</v>
      </c>
      <c r="F92" s="3">
        <v>0</v>
      </c>
      <c r="G92" s="3">
        <v>0</v>
      </c>
      <c r="H92" s="3">
        <v>5963.23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1:25" x14ac:dyDescent="0.3">
      <c r="A93" s="2" t="s">
        <v>177</v>
      </c>
      <c r="B93" s="2" t="s">
        <v>178</v>
      </c>
      <c r="C93" s="3">
        <v>18739.75</v>
      </c>
      <c r="D93" s="3">
        <v>0</v>
      </c>
      <c r="E93" s="3">
        <v>18739.75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1:25" x14ac:dyDescent="0.3">
      <c r="A94" s="2" t="s">
        <v>179</v>
      </c>
      <c r="B94" s="2" t="s">
        <v>180</v>
      </c>
      <c r="C94" s="3">
        <v>8000</v>
      </c>
      <c r="D94" s="3">
        <v>0</v>
      </c>
      <c r="E94" s="3">
        <v>8000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1:25" x14ac:dyDescent="0.3">
      <c r="A95" s="2" t="s">
        <v>181</v>
      </c>
      <c r="B95" s="2" t="s">
        <v>182</v>
      </c>
      <c r="C95" s="3">
        <v>704.17</v>
      </c>
      <c r="D95" s="3">
        <v>0</v>
      </c>
      <c r="E95" s="3">
        <v>650</v>
      </c>
      <c r="F95" s="3">
        <v>0</v>
      </c>
      <c r="G95" s="3">
        <v>0</v>
      </c>
      <c r="H95" s="3">
        <v>54.17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</row>
    <row r="96" spans="1:25" x14ac:dyDescent="0.3">
      <c r="A96" s="2" t="s">
        <v>183</v>
      </c>
      <c r="B96" s="2" t="s">
        <v>184</v>
      </c>
      <c r="C96" s="3">
        <v>5008.34</v>
      </c>
      <c r="D96" s="3">
        <v>0</v>
      </c>
      <c r="E96" s="3">
        <v>4300</v>
      </c>
      <c r="F96" s="3">
        <v>0</v>
      </c>
      <c r="G96" s="3">
        <v>0</v>
      </c>
      <c r="H96" s="3">
        <v>708.34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1:25" x14ac:dyDescent="0.3">
      <c r="A97" s="2" t="s">
        <v>185</v>
      </c>
      <c r="B97" s="2" t="s">
        <v>186</v>
      </c>
      <c r="C97" s="3">
        <v>200</v>
      </c>
      <c r="D97" s="3">
        <v>0</v>
      </c>
      <c r="E97" s="3">
        <v>200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1:25" x14ac:dyDescent="0.3">
      <c r="A98" s="2" t="s">
        <v>187</v>
      </c>
      <c r="B98" s="2" t="s">
        <v>188</v>
      </c>
      <c r="C98" s="3">
        <v>6636.4</v>
      </c>
      <c r="D98" s="3">
        <v>0</v>
      </c>
      <c r="E98" s="3">
        <v>6636.4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1:25" x14ac:dyDescent="0.3">
      <c r="A99" s="2" t="s">
        <v>189</v>
      </c>
      <c r="B99" s="2" t="s">
        <v>190</v>
      </c>
      <c r="C99" s="3">
        <v>20200</v>
      </c>
      <c r="D99" s="3">
        <v>0</v>
      </c>
      <c r="E99" s="3">
        <v>20200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1:25" ht="15.6" x14ac:dyDescent="0.3">
      <c r="A100" s="5" t="s">
        <v>191</v>
      </c>
      <c r="B100" t="s">
        <v>172</v>
      </c>
      <c r="C100" s="1">
        <f t="shared" ref="C100:Y100" si="7">(+(C90)+(C91)+(C92)+(C93)+(C94)+(C95)+(C96)+(C97)+(C98)+(C99))</f>
        <v>577917.78</v>
      </c>
      <c r="D100" s="1">
        <f t="shared" si="7"/>
        <v>0</v>
      </c>
      <c r="E100" s="1">
        <f t="shared" si="7"/>
        <v>571192.04</v>
      </c>
      <c r="F100" s="1">
        <f t="shared" si="7"/>
        <v>0</v>
      </c>
      <c r="G100" s="1">
        <f t="shared" si="7"/>
        <v>0</v>
      </c>
      <c r="H100" s="1">
        <f t="shared" si="7"/>
        <v>6725.74</v>
      </c>
      <c r="I100" s="1">
        <f t="shared" si="7"/>
        <v>0</v>
      </c>
      <c r="J100" s="1">
        <f t="shared" si="7"/>
        <v>0</v>
      </c>
      <c r="K100" s="1">
        <f t="shared" si="7"/>
        <v>0</v>
      </c>
      <c r="L100" s="1">
        <f t="shared" si="7"/>
        <v>0</v>
      </c>
      <c r="M100" s="1">
        <f t="shared" si="7"/>
        <v>0</v>
      </c>
      <c r="N100" s="1">
        <f t="shared" si="7"/>
        <v>0</v>
      </c>
      <c r="O100" s="1">
        <f t="shared" si="7"/>
        <v>0</v>
      </c>
      <c r="P100" s="1">
        <f t="shared" si="7"/>
        <v>0</v>
      </c>
      <c r="Q100" s="1">
        <f t="shared" si="7"/>
        <v>0</v>
      </c>
      <c r="R100" s="1">
        <f t="shared" si="7"/>
        <v>0</v>
      </c>
      <c r="S100" s="1">
        <f t="shared" si="7"/>
        <v>0</v>
      </c>
      <c r="T100" s="1">
        <f t="shared" si="7"/>
        <v>0</v>
      </c>
      <c r="U100" s="1">
        <f t="shared" si="7"/>
        <v>0</v>
      </c>
      <c r="V100" s="1">
        <f t="shared" si="7"/>
        <v>0</v>
      </c>
      <c r="W100" s="1">
        <f t="shared" si="7"/>
        <v>0</v>
      </c>
      <c r="X100" s="1">
        <f t="shared" si="7"/>
        <v>0</v>
      </c>
      <c r="Y100" s="1">
        <f t="shared" si="7"/>
        <v>0</v>
      </c>
    </row>
    <row r="102" spans="1:25" x14ac:dyDescent="0.3">
      <c r="A102" s="2" t="s">
        <v>192</v>
      </c>
      <c r="B102" s="2" t="s">
        <v>193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  <row r="103" spans="1:25" x14ac:dyDescent="0.3">
      <c r="A103" s="2" t="s">
        <v>194</v>
      </c>
      <c r="B103" s="2" t="s">
        <v>195</v>
      </c>
      <c r="C103" s="3">
        <v>5986.71</v>
      </c>
      <c r="D103" s="3">
        <v>0</v>
      </c>
      <c r="E103" s="3">
        <v>5986.71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</row>
    <row r="104" spans="1:25" x14ac:dyDescent="0.3">
      <c r="A104" s="2" t="s">
        <v>196</v>
      </c>
      <c r="B104" s="2" t="s">
        <v>197</v>
      </c>
      <c r="C104" s="3">
        <v>250</v>
      </c>
      <c r="D104" s="3">
        <v>0</v>
      </c>
      <c r="E104" s="3">
        <v>250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</row>
    <row r="105" spans="1:25" x14ac:dyDescent="0.3">
      <c r="A105" s="2" t="s">
        <v>198</v>
      </c>
      <c r="B105" s="2" t="s">
        <v>199</v>
      </c>
      <c r="C105" s="3">
        <v>2440.7600000000002</v>
      </c>
      <c r="D105" s="3">
        <v>0</v>
      </c>
      <c r="E105" s="3">
        <v>2440.7600000000002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</row>
    <row r="106" spans="1:25" x14ac:dyDescent="0.3">
      <c r="A106" s="2" t="s">
        <v>200</v>
      </c>
      <c r="B106" s="2" t="s">
        <v>201</v>
      </c>
      <c r="C106" s="3">
        <v>30300</v>
      </c>
      <c r="D106" s="3">
        <v>0</v>
      </c>
      <c r="E106" s="3">
        <v>30300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</row>
    <row r="107" spans="1:25" x14ac:dyDescent="0.3">
      <c r="A107" s="2" t="s">
        <v>202</v>
      </c>
      <c r="B107" s="2" t="s">
        <v>203</v>
      </c>
      <c r="C107" s="3">
        <v>165965</v>
      </c>
      <c r="D107" s="3">
        <v>12300</v>
      </c>
      <c r="E107" s="3">
        <v>153665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</row>
    <row r="108" spans="1:25" x14ac:dyDescent="0.3">
      <c r="A108" s="2" t="s">
        <v>204</v>
      </c>
      <c r="B108" s="2" t="s">
        <v>205</v>
      </c>
      <c r="C108" s="3">
        <v>3889.84</v>
      </c>
      <c r="D108" s="3">
        <v>0</v>
      </c>
      <c r="E108" s="3">
        <v>3889.84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</row>
    <row r="109" spans="1:25" x14ac:dyDescent="0.3">
      <c r="A109" s="2" t="s">
        <v>206</v>
      </c>
      <c r="B109" s="2" t="s">
        <v>207</v>
      </c>
      <c r="C109" s="3">
        <v>4800</v>
      </c>
      <c r="D109" s="3">
        <v>0</v>
      </c>
      <c r="E109" s="3">
        <v>4800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</row>
    <row r="110" spans="1:25" x14ac:dyDescent="0.3">
      <c r="A110" s="2" t="s">
        <v>208</v>
      </c>
      <c r="B110" s="2" t="s">
        <v>209</v>
      </c>
      <c r="C110" s="3">
        <v>6200</v>
      </c>
      <c r="D110" s="3">
        <v>0</v>
      </c>
      <c r="E110" s="3">
        <v>6200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</row>
    <row r="111" spans="1:25" x14ac:dyDescent="0.3">
      <c r="A111" s="2" t="s">
        <v>210</v>
      </c>
      <c r="B111" s="2" t="s">
        <v>211</v>
      </c>
      <c r="C111" s="3">
        <v>17500</v>
      </c>
      <c r="D111" s="3">
        <v>0</v>
      </c>
      <c r="E111" s="3">
        <v>12250</v>
      </c>
      <c r="F111" s="3">
        <v>0</v>
      </c>
      <c r="G111" s="3">
        <v>0</v>
      </c>
      <c r="H111" s="3">
        <v>5250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</row>
    <row r="112" spans="1:25" x14ac:dyDescent="0.3">
      <c r="A112" s="2" t="s">
        <v>212</v>
      </c>
      <c r="B112" s="2" t="s">
        <v>213</v>
      </c>
      <c r="C112" s="3">
        <v>13074.88</v>
      </c>
      <c r="D112" s="3">
        <v>0</v>
      </c>
      <c r="E112" s="3">
        <v>13074.88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</row>
    <row r="113" spans="1:25" x14ac:dyDescent="0.3">
      <c r="A113" s="2" t="s">
        <v>214</v>
      </c>
      <c r="B113" s="2" t="s">
        <v>215</v>
      </c>
      <c r="C113" s="3">
        <v>7204.75</v>
      </c>
      <c r="D113" s="3">
        <v>0</v>
      </c>
      <c r="E113" s="3">
        <v>4849.6499999999996</v>
      </c>
      <c r="F113" s="3">
        <v>0</v>
      </c>
      <c r="G113" s="3">
        <v>0</v>
      </c>
      <c r="H113" s="3">
        <v>2355.1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</row>
    <row r="114" spans="1:25" x14ac:dyDescent="0.3">
      <c r="A114" s="2" t="s">
        <v>216</v>
      </c>
      <c r="B114" s="2" t="s">
        <v>217</v>
      </c>
      <c r="C114" s="3">
        <v>200</v>
      </c>
      <c r="D114" s="3">
        <v>0</v>
      </c>
      <c r="E114" s="3">
        <v>200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</row>
    <row r="115" spans="1:25" x14ac:dyDescent="0.3">
      <c r="A115" s="2" t="s">
        <v>218</v>
      </c>
      <c r="B115" s="2" t="s">
        <v>219</v>
      </c>
      <c r="C115" s="3">
        <v>2893.92</v>
      </c>
      <c r="D115" s="3">
        <v>0</v>
      </c>
      <c r="E115" s="3">
        <v>2893.92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</row>
    <row r="116" spans="1:25" x14ac:dyDescent="0.3">
      <c r="A116" s="2" t="s">
        <v>220</v>
      </c>
      <c r="B116" s="2" t="s">
        <v>221</v>
      </c>
      <c r="C116" s="3">
        <v>2127.58</v>
      </c>
      <c r="D116" s="3">
        <v>0</v>
      </c>
      <c r="E116" s="3">
        <v>2127.58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</row>
    <row r="117" spans="1:25" x14ac:dyDescent="0.3">
      <c r="A117" s="2" t="s">
        <v>222</v>
      </c>
      <c r="B117" s="2" t="s">
        <v>223</v>
      </c>
      <c r="C117" s="3">
        <v>2450</v>
      </c>
      <c r="D117" s="3">
        <v>0</v>
      </c>
      <c r="E117" s="3">
        <v>2450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 spans="1:25" x14ac:dyDescent="0.3">
      <c r="A118" s="2" t="s">
        <v>224</v>
      </c>
      <c r="B118" s="2" t="s">
        <v>225</v>
      </c>
      <c r="C118" s="3">
        <v>373.91</v>
      </c>
      <c r="D118" s="3">
        <v>0</v>
      </c>
      <c r="E118" s="3">
        <v>373.91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</row>
    <row r="119" spans="1:25" x14ac:dyDescent="0.3">
      <c r="A119" s="2" t="s">
        <v>226</v>
      </c>
      <c r="B119" s="2" t="s">
        <v>227</v>
      </c>
      <c r="C119" s="3">
        <v>1500</v>
      </c>
      <c r="D119" s="3">
        <v>0</v>
      </c>
      <c r="E119" s="3">
        <v>1500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 spans="1:25" x14ac:dyDescent="0.3">
      <c r="A120" s="2" t="s">
        <v>228</v>
      </c>
      <c r="B120" s="2" t="s">
        <v>229</v>
      </c>
      <c r="C120" s="3">
        <v>958.2</v>
      </c>
      <c r="D120" s="3">
        <v>0</v>
      </c>
      <c r="E120" s="3">
        <v>958.2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 spans="1:25" x14ac:dyDescent="0.3">
      <c r="A121" s="2" t="s">
        <v>230</v>
      </c>
      <c r="B121" s="2" t="s">
        <v>231</v>
      </c>
      <c r="C121" s="3">
        <v>1936.07</v>
      </c>
      <c r="D121" s="3">
        <v>0</v>
      </c>
      <c r="E121" s="3">
        <v>1936.07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  <row r="122" spans="1:25" x14ac:dyDescent="0.3">
      <c r="A122" s="2" t="s">
        <v>232</v>
      </c>
      <c r="B122" s="2" t="s">
        <v>233</v>
      </c>
      <c r="C122" s="3">
        <v>6377.84</v>
      </c>
      <c r="D122" s="3">
        <v>0</v>
      </c>
      <c r="E122" s="3">
        <v>6377.84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</row>
    <row r="123" spans="1:25" x14ac:dyDescent="0.3">
      <c r="A123" s="2" t="s">
        <v>234</v>
      </c>
      <c r="B123" s="2" t="s">
        <v>235</v>
      </c>
      <c r="C123" s="3">
        <v>200</v>
      </c>
      <c r="D123" s="3">
        <v>0</v>
      </c>
      <c r="E123" s="3">
        <v>200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</row>
    <row r="124" spans="1:25" x14ac:dyDescent="0.3">
      <c r="A124" s="2" t="s">
        <v>236</v>
      </c>
      <c r="B124" s="2" t="s">
        <v>237</v>
      </c>
      <c r="C124" s="3">
        <v>550</v>
      </c>
      <c r="D124" s="3">
        <v>0</v>
      </c>
      <c r="E124" s="3">
        <v>550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</row>
    <row r="125" spans="1:25" x14ac:dyDescent="0.3">
      <c r="A125" s="2" t="s">
        <v>238</v>
      </c>
      <c r="B125" s="2" t="s">
        <v>239</v>
      </c>
      <c r="C125" s="3">
        <v>19522</v>
      </c>
      <c r="D125" s="3">
        <v>0</v>
      </c>
      <c r="E125" s="3">
        <v>19522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</row>
    <row r="126" spans="1:25" x14ac:dyDescent="0.3">
      <c r="A126" s="2" t="s">
        <v>240</v>
      </c>
      <c r="B126" s="2" t="s">
        <v>241</v>
      </c>
      <c r="C126" s="3">
        <v>4857.0600000000004</v>
      </c>
      <c r="D126" s="3">
        <v>0</v>
      </c>
      <c r="E126" s="3">
        <v>4002</v>
      </c>
      <c r="F126" s="3">
        <v>0</v>
      </c>
      <c r="G126" s="3">
        <v>0</v>
      </c>
      <c r="H126" s="3">
        <v>855.06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</row>
    <row r="127" spans="1:25" x14ac:dyDescent="0.3">
      <c r="A127" s="2" t="s">
        <v>242</v>
      </c>
      <c r="B127" s="2" t="s">
        <v>243</v>
      </c>
      <c r="C127" s="3">
        <v>8880</v>
      </c>
      <c r="D127" s="3">
        <v>0</v>
      </c>
      <c r="E127" s="3">
        <v>8880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</row>
    <row r="128" spans="1:25" x14ac:dyDescent="0.3">
      <c r="A128" s="2" t="s">
        <v>244</v>
      </c>
      <c r="B128" s="2" t="s">
        <v>245</v>
      </c>
      <c r="C128" s="3">
        <v>99800</v>
      </c>
      <c r="D128" s="3">
        <v>0</v>
      </c>
      <c r="E128" s="3">
        <v>99800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</row>
    <row r="129" spans="1:25" x14ac:dyDescent="0.3">
      <c r="A129" s="2" t="s">
        <v>246</v>
      </c>
      <c r="B129" s="2" t="s">
        <v>247</v>
      </c>
      <c r="C129" s="3">
        <v>4417.8599999999997</v>
      </c>
      <c r="D129" s="3">
        <v>0</v>
      </c>
      <c r="E129" s="3">
        <v>4417.8599999999997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</row>
    <row r="130" spans="1:25" x14ac:dyDescent="0.3">
      <c r="A130" s="2" t="s">
        <v>248</v>
      </c>
      <c r="B130" s="2" t="s">
        <v>249</v>
      </c>
      <c r="C130" s="3">
        <v>4769.55</v>
      </c>
      <c r="D130" s="3">
        <v>0</v>
      </c>
      <c r="E130" s="3">
        <v>4769.55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 spans="1:25" x14ac:dyDescent="0.3">
      <c r="A131" s="2" t="s">
        <v>250</v>
      </c>
      <c r="B131" s="2" t="s">
        <v>251</v>
      </c>
      <c r="C131" s="3">
        <v>64</v>
      </c>
      <c r="D131" s="3">
        <v>0</v>
      </c>
      <c r="E131" s="3">
        <v>64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</row>
    <row r="132" spans="1:25" x14ac:dyDescent="0.3">
      <c r="A132" s="2" t="s">
        <v>252</v>
      </c>
      <c r="B132" s="2" t="s">
        <v>253</v>
      </c>
      <c r="C132" s="3">
        <v>4323.32</v>
      </c>
      <c r="D132" s="3">
        <v>0</v>
      </c>
      <c r="E132" s="3">
        <v>4323.32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</row>
    <row r="133" spans="1:25" x14ac:dyDescent="0.3">
      <c r="A133" s="2" t="s">
        <v>254</v>
      </c>
      <c r="B133" s="2" t="s">
        <v>255</v>
      </c>
      <c r="C133" s="3">
        <v>1457.51</v>
      </c>
      <c r="D133" s="3">
        <v>0</v>
      </c>
      <c r="E133" s="3">
        <v>1457.51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</row>
    <row r="134" spans="1:25" x14ac:dyDescent="0.3">
      <c r="A134" s="2" t="s">
        <v>256</v>
      </c>
      <c r="B134" s="2" t="s">
        <v>257</v>
      </c>
      <c r="C134" s="3">
        <v>4264.9399999999996</v>
      </c>
      <c r="D134" s="3">
        <v>0</v>
      </c>
      <c r="E134" s="3">
        <v>4264.9399999999996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</row>
    <row r="135" spans="1:25" x14ac:dyDescent="0.3">
      <c r="A135" s="2" t="s">
        <v>258</v>
      </c>
      <c r="B135" s="2" t="s">
        <v>259</v>
      </c>
      <c r="C135" s="3">
        <v>10000</v>
      </c>
      <c r="D135" s="3">
        <v>0</v>
      </c>
      <c r="E135" s="3">
        <v>10000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</row>
    <row r="136" spans="1:25" x14ac:dyDescent="0.3">
      <c r="A136" s="2" t="s">
        <v>260</v>
      </c>
      <c r="B136" s="2" t="s">
        <v>261</v>
      </c>
      <c r="C136" s="3">
        <v>17953.66</v>
      </c>
      <c r="D136" s="3">
        <v>0</v>
      </c>
      <c r="E136" s="3">
        <v>17953.66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</row>
    <row r="137" spans="1:25" x14ac:dyDescent="0.3">
      <c r="A137" s="2" t="s">
        <v>262</v>
      </c>
      <c r="B137" s="2" t="s">
        <v>263</v>
      </c>
      <c r="C137" s="3">
        <v>525000</v>
      </c>
      <c r="D137" s="3">
        <v>0</v>
      </c>
      <c r="E137" s="3">
        <v>525000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</row>
    <row r="138" spans="1:25" x14ac:dyDescent="0.3">
      <c r="A138" s="2" t="s">
        <v>264</v>
      </c>
      <c r="B138" s="2" t="s">
        <v>265</v>
      </c>
      <c r="C138" s="3">
        <v>4068.7</v>
      </c>
      <c r="D138" s="3">
        <v>0</v>
      </c>
      <c r="E138" s="3">
        <v>4068.7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</row>
    <row r="139" spans="1:25" x14ac:dyDescent="0.3">
      <c r="A139" s="2" t="s">
        <v>266</v>
      </c>
      <c r="B139" s="2" t="s">
        <v>267</v>
      </c>
      <c r="C139" s="3">
        <v>10955</v>
      </c>
      <c r="D139" s="3">
        <v>0</v>
      </c>
      <c r="E139" s="3">
        <v>0</v>
      </c>
      <c r="F139" s="3">
        <v>0</v>
      </c>
      <c r="G139" s="3">
        <v>10955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</row>
    <row r="140" spans="1:25" x14ac:dyDescent="0.3">
      <c r="A140" s="2" t="s">
        <v>268</v>
      </c>
      <c r="B140" s="2" t="s">
        <v>269</v>
      </c>
      <c r="C140" s="3">
        <v>256063.02</v>
      </c>
      <c r="D140" s="3">
        <v>0</v>
      </c>
      <c r="E140" s="3">
        <v>256063.02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</row>
    <row r="141" spans="1:25" ht="15.6" x14ac:dyDescent="0.3">
      <c r="A141" s="5" t="s">
        <v>270</v>
      </c>
      <c r="B141" t="s">
        <v>193</v>
      </c>
      <c r="C141" s="1">
        <f t="shared" ref="C141:Y141" si="8">(+(C102)+(C103)+(C104)+(C105)+(C106)+(C107)+(C108)+(C109)+(C110)+(C111)+(C112)+(C113)+(C114)+(C115)+(C116)+(C117)+(C118)+(C119)+(C120)+(C121)+(C122)+(C123)+(C124)+(C125)+(C126)+(C127)+(C128)+(C129)+(C130)+(C131)+(C132)+(C133)+(C134)+(C135)+(C136)+(C137)+(C138)+(C139)+(C140))</f>
        <v>1253576.0799999998</v>
      </c>
      <c r="D141" s="1">
        <f t="shared" si="8"/>
        <v>12300</v>
      </c>
      <c r="E141" s="1">
        <f t="shared" si="8"/>
        <v>1221860.92</v>
      </c>
      <c r="F141" s="1">
        <f t="shared" si="8"/>
        <v>0</v>
      </c>
      <c r="G141" s="1">
        <f t="shared" si="8"/>
        <v>10955</v>
      </c>
      <c r="H141" s="1">
        <f t="shared" si="8"/>
        <v>8460.16</v>
      </c>
      <c r="I141" s="1">
        <f t="shared" si="8"/>
        <v>0</v>
      </c>
      <c r="J141" s="1">
        <f t="shared" si="8"/>
        <v>0</v>
      </c>
      <c r="K141" s="1">
        <f t="shared" si="8"/>
        <v>0</v>
      </c>
      <c r="L141" s="1">
        <f t="shared" si="8"/>
        <v>0</v>
      </c>
      <c r="M141" s="1">
        <f t="shared" si="8"/>
        <v>0</v>
      </c>
      <c r="N141" s="1">
        <f t="shared" si="8"/>
        <v>0</v>
      </c>
      <c r="O141" s="1">
        <f t="shared" si="8"/>
        <v>0</v>
      </c>
      <c r="P141" s="1">
        <f t="shared" si="8"/>
        <v>0</v>
      </c>
      <c r="Q141" s="1">
        <f t="shared" si="8"/>
        <v>0</v>
      </c>
      <c r="R141" s="1">
        <f t="shared" si="8"/>
        <v>0</v>
      </c>
      <c r="S141" s="1">
        <f t="shared" si="8"/>
        <v>0</v>
      </c>
      <c r="T141" s="1">
        <f t="shared" si="8"/>
        <v>0</v>
      </c>
      <c r="U141" s="1">
        <f t="shared" si="8"/>
        <v>0</v>
      </c>
      <c r="V141" s="1">
        <f t="shared" si="8"/>
        <v>0</v>
      </c>
      <c r="W141" s="1">
        <f t="shared" si="8"/>
        <v>0</v>
      </c>
      <c r="X141" s="1">
        <f t="shared" si="8"/>
        <v>0</v>
      </c>
      <c r="Y141" s="1">
        <f t="shared" si="8"/>
        <v>0</v>
      </c>
    </row>
    <row r="143" spans="1:25" ht="15.6" x14ac:dyDescent="0.3">
      <c r="A143" s="5" t="s">
        <v>271</v>
      </c>
      <c r="B143" t="s">
        <v>170</v>
      </c>
      <c r="C143" s="1">
        <f t="shared" ref="C143:Y143" si="9">(+(C89)+(C100)+(C141))</f>
        <v>1831493.8599999999</v>
      </c>
      <c r="D143" s="1">
        <f t="shared" si="9"/>
        <v>12300</v>
      </c>
      <c r="E143" s="1">
        <f t="shared" si="9"/>
        <v>1793052.96</v>
      </c>
      <c r="F143" s="1">
        <f t="shared" si="9"/>
        <v>0</v>
      </c>
      <c r="G143" s="1">
        <f t="shared" si="9"/>
        <v>10955</v>
      </c>
      <c r="H143" s="1">
        <f t="shared" si="9"/>
        <v>15185.9</v>
      </c>
      <c r="I143" s="1">
        <f t="shared" si="9"/>
        <v>0</v>
      </c>
      <c r="J143" s="1">
        <f t="shared" si="9"/>
        <v>0</v>
      </c>
      <c r="K143" s="1">
        <f t="shared" si="9"/>
        <v>0</v>
      </c>
      <c r="L143" s="1">
        <f t="shared" si="9"/>
        <v>0</v>
      </c>
      <c r="M143" s="1">
        <f t="shared" si="9"/>
        <v>0</v>
      </c>
      <c r="N143" s="1">
        <f t="shared" si="9"/>
        <v>0</v>
      </c>
      <c r="O143" s="1">
        <f t="shared" si="9"/>
        <v>0</v>
      </c>
      <c r="P143" s="1">
        <f t="shared" si="9"/>
        <v>0</v>
      </c>
      <c r="Q143" s="1">
        <f t="shared" si="9"/>
        <v>0</v>
      </c>
      <c r="R143" s="1">
        <f t="shared" si="9"/>
        <v>0</v>
      </c>
      <c r="S143" s="1">
        <f t="shared" si="9"/>
        <v>0</v>
      </c>
      <c r="T143" s="1">
        <f t="shared" si="9"/>
        <v>0</v>
      </c>
      <c r="U143" s="1">
        <f t="shared" si="9"/>
        <v>0</v>
      </c>
      <c r="V143" s="1">
        <f t="shared" si="9"/>
        <v>0</v>
      </c>
      <c r="W143" s="1">
        <f t="shared" si="9"/>
        <v>0</v>
      </c>
      <c r="X143" s="1">
        <f t="shared" si="9"/>
        <v>0</v>
      </c>
      <c r="Y143" s="1">
        <f t="shared" si="9"/>
        <v>0</v>
      </c>
    </row>
    <row r="145" spans="1:25" x14ac:dyDescent="0.3">
      <c r="A145" s="2" t="s">
        <v>272</v>
      </c>
      <c r="B145" s="2" t="s">
        <v>273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 spans="1:25" x14ac:dyDescent="0.3">
      <c r="A146" s="2" t="s">
        <v>274</v>
      </c>
      <c r="B146" s="2" t="s">
        <v>275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</row>
    <row r="147" spans="1:25" x14ac:dyDescent="0.3">
      <c r="A147" s="2" t="s">
        <v>276</v>
      </c>
      <c r="B147" s="2" t="s">
        <v>277</v>
      </c>
      <c r="C147" s="3">
        <v>13750</v>
      </c>
      <c r="D147" s="3">
        <v>0</v>
      </c>
      <c r="E147" s="3">
        <v>0</v>
      </c>
      <c r="F147" s="3">
        <v>13750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</row>
    <row r="148" spans="1:25" x14ac:dyDescent="0.3">
      <c r="A148" s="2" t="s">
        <v>278</v>
      </c>
      <c r="B148" s="2" t="s">
        <v>279</v>
      </c>
      <c r="C148" s="3">
        <v>2250</v>
      </c>
      <c r="D148" s="3">
        <v>0</v>
      </c>
      <c r="E148" s="3">
        <v>0</v>
      </c>
      <c r="F148" s="3">
        <v>2250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</row>
    <row r="149" spans="1:25" x14ac:dyDescent="0.3">
      <c r="A149" s="2" t="s">
        <v>280</v>
      </c>
      <c r="B149" s="2" t="s">
        <v>281</v>
      </c>
      <c r="C149" s="3">
        <v>12769.37</v>
      </c>
      <c r="D149" s="3">
        <v>0</v>
      </c>
      <c r="E149" s="3">
        <v>0</v>
      </c>
      <c r="F149" s="3">
        <v>12769.37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</row>
    <row r="150" spans="1:25" x14ac:dyDescent="0.3">
      <c r="A150" s="2" t="s">
        <v>282</v>
      </c>
      <c r="B150" s="2" t="s">
        <v>283</v>
      </c>
      <c r="C150" s="3">
        <v>1518.88</v>
      </c>
      <c r="D150" s="3">
        <v>0</v>
      </c>
      <c r="E150" s="3">
        <v>0</v>
      </c>
      <c r="F150" s="3">
        <v>1518.88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</row>
    <row r="151" spans="1:25" x14ac:dyDescent="0.3">
      <c r="A151" s="2" t="s">
        <v>284</v>
      </c>
      <c r="B151" s="2" t="s">
        <v>285</v>
      </c>
      <c r="C151" s="3">
        <v>6487.83</v>
      </c>
      <c r="D151" s="3">
        <v>0</v>
      </c>
      <c r="E151" s="3">
        <v>0</v>
      </c>
      <c r="F151" s="3">
        <v>6487.83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</row>
    <row r="152" spans="1:25" x14ac:dyDescent="0.3">
      <c r="A152" s="2" t="s">
        <v>286</v>
      </c>
      <c r="B152" s="2" t="s">
        <v>287</v>
      </c>
      <c r="C152" s="3">
        <v>6720</v>
      </c>
      <c r="D152" s="3">
        <v>0</v>
      </c>
      <c r="E152" s="3">
        <v>0</v>
      </c>
      <c r="F152" s="3">
        <v>6720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</row>
    <row r="153" spans="1:25" x14ac:dyDescent="0.3">
      <c r="A153" s="2" t="s">
        <v>288</v>
      </c>
      <c r="B153" s="2" t="s">
        <v>289</v>
      </c>
      <c r="C153" s="3">
        <v>2300</v>
      </c>
      <c r="D153" s="3">
        <v>0</v>
      </c>
      <c r="E153" s="3">
        <v>0</v>
      </c>
      <c r="F153" s="3">
        <v>2300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</row>
    <row r="154" spans="1:25" x14ac:dyDescent="0.3">
      <c r="A154" s="2" t="s">
        <v>290</v>
      </c>
      <c r="B154" s="2" t="s">
        <v>291</v>
      </c>
      <c r="C154" s="3">
        <v>2603.7199999999998</v>
      </c>
      <c r="D154" s="3">
        <v>0</v>
      </c>
      <c r="E154" s="3">
        <v>0</v>
      </c>
      <c r="F154" s="3">
        <v>2603.7199999999998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</row>
    <row r="155" spans="1:25" x14ac:dyDescent="0.3">
      <c r="A155" s="2" t="s">
        <v>292</v>
      </c>
      <c r="B155" s="2" t="s">
        <v>293</v>
      </c>
      <c r="C155" s="3">
        <v>34149.050000000003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33000</v>
      </c>
      <c r="Q155" s="3">
        <v>0</v>
      </c>
      <c r="R155" s="3">
        <v>0</v>
      </c>
      <c r="S155" s="3">
        <v>0</v>
      </c>
      <c r="T155" s="3">
        <v>1149.05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</row>
    <row r="156" spans="1:25" ht="15.6" x14ac:dyDescent="0.3">
      <c r="A156" s="5" t="s">
        <v>294</v>
      </c>
      <c r="B156" t="s">
        <v>275</v>
      </c>
      <c r="C156" s="1">
        <f t="shared" ref="C156:Y156" si="10">(+(C146)+(C147)+(C148)+(C149)+(C150)+(C151)+(C152)+(C153)+(C154)+(C155))</f>
        <v>82548.850000000006</v>
      </c>
      <c r="D156" s="1">
        <f t="shared" si="10"/>
        <v>0</v>
      </c>
      <c r="E156" s="1">
        <f t="shared" si="10"/>
        <v>0</v>
      </c>
      <c r="F156" s="1">
        <f t="shared" si="10"/>
        <v>48399.8</v>
      </c>
      <c r="G156" s="1">
        <f t="shared" si="10"/>
        <v>0</v>
      </c>
      <c r="H156" s="1">
        <f t="shared" si="10"/>
        <v>0</v>
      </c>
      <c r="I156" s="1">
        <f t="shared" si="10"/>
        <v>0</v>
      </c>
      <c r="J156" s="1">
        <f t="shared" si="10"/>
        <v>0</v>
      </c>
      <c r="K156" s="1">
        <f t="shared" si="10"/>
        <v>0</v>
      </c>
      <c r="L156" s="1">
        <f t="shared" si="10"/>
        <v>0</v>
      </c>
      <c r="M156" s="1">
        <f t="shared" si="10"/>
        <v>0</v>
      </c>
      <c r="N156" s="1">
        <f t="shared" si="10"/>
        <v>0</v>
      </c>
      <c r="O156" s="1">
        <f t="shared" si="10"/>
        <v>0</v>
      </c>
      <c r="P156" s="1">
        <f t="shared" si="10"/>
        <v>33000</v>
      </c>
      <c r="Q156" s="1">
        <f t="shared" si="10"/>
        <v>0</v>
      </c>
      <c r="R156" s="1">
        <f t="shared" si="10"/>
        <v>0</v>
      </c>
      <c r="S156" s="1">
        <f t="shared" si="10"/>
        <v>0</v>
      </c>
      <c r="T156" s="1">
        <f t="shared" si="10"/>
        <v>1149.05</v>
      </c>
      <c r="U156" s="1">
        <f t="shared" si="10"/>
        <v>0</v>
      </c>
      <c r="V156" s="1">
        <f t="shared" si="10"/>
        <v>0</v>
      </c>
      <c r="W156" s="1">
        <f t="shared" si="10"/>
        <v>0</v>
      </c>
      <c r="X156" s="1">
        <f t="shared" si="10"/>
        <v>0</v>
      </c>
      <c r="Y156" s="1">
        <f t="shared" si="10"/>
        <v>0</v>
      </c>
    </row>
    <row r="158" spans="1:25" ht="15.6" x14ac:dyDescent="0.3">
      <c r="A158" s="5" t="s">
        <v>295</v>
      </c>
      <c r="B158" t="s">
        <v>273</v>
      </c>
      <c r="C158" s="1">
        <f t="shared" ref="C158:Y158" si="11">(+(C145)+(C156))</f>
        <v>82548.850000000006</v>
      </c>
      <c r="D158" s="1">
        <f t="shared" si="11"/>
        <v>0</v>
      </c>
      <c r="E158" s="1">
        <f t="shared" si="11"/>
        <v>0</v>
      </c>
      <c r="F158" s="1">
        <f t="shared" si="11"/>
        <v>48399.8</v>
      </c>
      <c r="G158" s="1">
        <f t="shared" si="11"/>
        <v>0</v>
      </c>
      <c r="H158" s="1">
        <f t="shared" si="11"/>
        <v>0</v>
      </c>
      <c r="I158" s="1">
        <f t="shared" si="11"/>
        <v>0</v>
      </c>
      <c r="J158" s="1">
        <f t="shared" si="11"/>
        <v>0</v>
      </c>
      <c r="K158" s="1">
        <f t="shared" si="11"/>
        <v>0</v>
      </c>
      <c r="L158" s="1">
        <f t="shared" si="11"/>
        <v>0</v>
      </c>
      <c r="M158" s="1">
        <f t="shared" si="11"/>
        <v>0</v>
      </c>
      <c r="N158" s="1">
        <f t="shared" si="11"/>
        <v>0</v>
      </c>
      <c r="O158" s="1">
        <f t="shared" si="11"/>
        <v>0</v>
      </c>
      <c r="P158" s="1">
        <f t="shared" si="11"/>
        <v>33000</v>
      </c>
      <c r="Q158" s="1">
        <f t="shared" si="11"/>
        <v>0</v>
      </c>
      <c r="R158" s="1">
        <f t="shared" si="11"/>
        <v>0</v>
      </c>
      <c r="S158" s="1">
        <f t="shared" si="11"/>
        <v>0</v>
      </c>
      <c r="T158" s="1">
        <f t="shared" si="11"/>
        <v>1149.05</v>
      </c>
      <c r="U158" s="1">
        <f t="shared" si="11"/>
        <v>0</v>
      </c>
      <c r="V158" s="1">
        <f t="shared" si="11"/>
        <v>0</v>
      </c>
      <c r="W158" s="1">
        <f t="shared" si="11"/>
        <v>0</v>
      </c>
      <c r="X158" s="1">
        <f t="shared" si="11"/>
        <v>0</v>
      </c>
      <c r="Y158" s="1">
        <f t="shared" si="11"/>
        <v>0</v>
      </c>
    </row>
    <row r="160" spans="1:25" x14ac:dyDescent="0.3">
      <c r="A160" s="2" t="s">
        <v>296</v>
      </c>
      <c r="B160" s="2" t="s">
        <v>297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</row>
    <row r="161" spans="1:25" x14ac:dyDescent="0.3">
      <c r="A161" s="2" t="s">
        <v>298</v>
      </c>
      <c r="B161" s="2" t="s">
        <v>299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</row>
    <row r="162" spans="1:25" x14ac:dyDescent="0.3">
      <c r="A162" s="2" t="s">
        <v>300</v>
      </c>
      <c r="B162" s="2" t="s">
        <v>301</v>
      </c>
      <c r="C162" s="3">
        <v>1</v>
      </c>
      <c r="D162" s="3">
        <v>0</v>
      </c>
      <c r="E162" s="3">
        <v>1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</row>
    <row r="163" spans="1:25" x14ac:dyDescent="0.3">
      <c r="A163" s="2" t="s">
        <v>302</v>
      </c>
      <c r="B163" s="2" t="s">
        <v>303</v>
      </c>
      <c r="C163" s="3">
        <v>282.88</v>
      </c>
      <c r="D163" s="3">
        <v>0</v>
      </c>
      <c r="E163" s="3">
        <v>282.88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</row>
    <row r="164" spans="1:25" x14ac:dyDescent="0.3">
      <c r="A164" s="2" t="s">
        <v>304</v>
      </c>
      <c r="B164" s="2" t="s">
        <v>305</v>
      </c>
      <c r="C164" s="3">
        <v>11527</v>
      </c>
      <c r="D164" s="3">
        <v>0</v>
      </c>
      <c r="E164" s="3">
        <v>11527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</row>
    <row r="165" spans="1:25" x14ac:dyDescent="0.3">
      <c r="A165" s="2" t="s">
        <v>306</v>
      </c>
      <c r="B165" s="2" t="s">
        <v>307</v>
      </c>
      <c r="C165" s="3">
        <v>5076.6000000000004</v>
      </c>
      <c r="D165" s="3">
        <v>0</v>
      </c>
      <c r="E165" s="3">
        <v>5076.6000000000004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</row>
    <row r="166" spans="1:25" x14ac:dyDescent="0.3">
      <c r="A166" s="2" t="s">
        <v>308</v>
      </c>
      <c r="B166" s="2" t="s">
        <v>309</v>
      </c>
      <c r="C166" s="3">
        <v>718.02</v>
      </c>
      <c r="D166" s="3">
        <v>0</v>
      </c>
      <c r="E166" s="3">
        <v>718.02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</row>
    <row r="167" spans="1:25" ht="15.6" x14ac:dyDescent="0.3">
      <c r="A167" s="5" t="s">
        <v>310</v>
      </c>
      <c r="B167" t="s">
        <v>299</v>
      </c>
      <c r="C167" s="1">
        <f t="shared" ref="C167:Y167" si="12">(+(C161)+(C162)+(C163)+(C164)+(C165)+(C166))</f>
        <v>17605.5</v>
      </c>
      <c r="D167" s="1">
        <f t="shared" si="12"/>
        <v>0</v>
      </c>
      <c r="E167" s="1">
        <f t="shared" si="12"/>
        <v>17605.5</v>
      </c>
      <c r="F167" s="1">
        <f t="shared" si="12"/>
        <v>0</v>
      </c>
      <c r="G167" s="1">
        <f t="shared" si="12"/>
        <v>0</v>
      </c>
      <c r="H167" s="1">
        <f t="shared" si="12"/>
        <v>0</v>
      </c>
      <c r="I167" s="1">
        <f t="shared" si="12"/>
        <v>0</v>
      </c>
      <c r="J167" s="1">
        <f t="shared" si="12"/>
        <v>0</v>
      </c>
      <c r="K167" s="1">
        <f t="shared" si="12"/>
        <v>0</v>
      </c>
      <c r="L167" s="1">
        <f t="shared" si="12"/>
        <v>0</v>
      </c>
      <c r="M167" s="1">
        <f t="shared" si="12"/>
        <v>0</v>
      </c>
      <c r="N167" s="1">
        <f t="shared" si="12"/>
        <v>0</v>
      </c>
      <c r="O167" s="1">
        <f t="shared" si="12"/>
        <v>0</v>
      </c>
      <c r="P167" s="1">
        <f t="shared" si="12"/>
        <v>0</v>
      </c>
      <c r="Q167" s="1">
        <f t="shared" si="12"/>
        <v>0</v>
      </c>
      <c r="R167" s="1">
        <f t="shared" si="12"/>
        <v>0</v>
      </c>
      <c r="S167" s="1">
        <f t="shared" si="12"/>
        <v>0</v>
      </c>
      <c r="T167" s="1">
        <f t="shared" si="12"/>
        <v>0</v>
      </c>
      <c r="U167" s="1">
        <f t="shared" si="12"/>
        <v>0</v>
      </c>
      <c r="V167" s="1">
        <f t="shared" si="12"/>
        <v>0</v>
      </c>
      <c r="W167" s="1">
        <f t="shared" si="12"/>
        <v>0</v>
      </c>
      <c r="X167" s="1">
        <f t="shared" si="12"/>
        <v>0</v>
      </c>
      <c r="Y167" s="1">
        <f t="shared" si="12"/>
        <v>0</v>
      </c>
    </row>
    <row r="169" spans="1:25" ht="15.6" x14ac:dyDescent="0.3">
      <c r="A169" s="5" t="s">
        <v>311</v>
      </c>
      <c r="B169" t="s">
        <v>297</v>
      </c>
      <c r="C169" s="1">
        <f t="shared" ref="C169:Y169" si="13">(+(C160)+(C167))</f>
        <v>17605.5</v>
      </c>
      <c r="D169" s="1">
        <f t="shared" si="13"/>
        <v>0</v>
      </c>
      <c r="E169" s="1">
        <f t="shared" si="13"/>
        <v>17605.5</v>
      </c>
      <c r="F169" s="1">
        <f t="shared" si="13"/>
        <v>0</v>
      </c>
      <c r="G169" s="1">
        <f t="shared" si="13"/>
        <v>0</v>
      </c>
      <c r="H169" s="1">
        <f t="shared" si="13"/>
        <v>0</v>
      </c>
      <c r="I169" s="1">
        <f t="shared" si="13"/>
        <v>0</v>
      </c>
      <c r="J169" s="1">
        <f t="shared" si="13"/>
        <v>0</v>
      </c>
      <c r="K169" s="1">
        <f t="shared" si="13"/>
        <v>0</v>
      </c>
      <c r="L169" s="1">
        <f t="shared" si="13"/>
        <v>0</v>
      </c>
      <c r="M169" s="1">
        <f t="shared" si="13"/>
        <v>0</v>
      </c>
      <c r="N169" s="1">
        <f t="shared" si="13"/>
        <v>0</v>
      </c>
      <c r="O169" s="1">
        <f t="shared" si="13"/>
        <v>0</v>
      </c>
      <c r="P169" s="1">
        <f t="shared" si="13"/>
        <v>0</v>
      </c>
      <c r="Q169" s="1">
        <f t="shared" si="13"/>
        <v>0</v>
      </c>
      <c r="R169" s="1">
        <f t="shared" si="13"/>
        <v>0</v>
      </c>
      <c r="S169" s="1">
        <f t="shared" si="13"/>
        <v>0</v>
      </c>
      <c r="T169" s="1">
        <f t="shared" si="13"/>
        <v>0</v>
      </c>
      <c r="U169" s="1">
        <f t="shared" si="13"/>
        <v>0</v>
      </c>
      <c r="V169" s="1">
        <f t="shared" si="13"/>
        <v>0</v>
      </c>
      <c r="W169" s="1">
        <f t="shared" si="13"/>
        <v>0</v>
      </c>
      <c r="X169" s="1">
        <f t="shared" si="13"/>
        <v>0</v>
      </c>
      <c r="Y169" s="1">
        <f t="shared" si="13"/>
        <v>0</v>
      </c>
    </row>
    <row r="171" spans="1:25" ht="15.6" x14ac:dyDescent="0.3">
      <c r="A171" s="5" t="s">
        <v>312</v>
      </c>
      <c r="B171" t="s">
        <v>1</v>
      </c>
      <c r="C171" s="1">
        <f t="shared" ref="C171:Y171" si="14">(+(C88)+(C143)+(C158)+(C169))</f>
        <v>1931373.71</v>
      </c>
      <c r="D171" s="1">
        <f t="shared" si="14"/>
        <v>12300</v>
      </c>
      <c r="E171" s="1">
        <f t="shared" si="14"/>
        <v>1810658.46</v>
      </c>
      <c r="F171" s="1">
        <f t="shared" si="14"/>
        <v>48399.8</v>
      </c>
      <c r="G171" s="1">
        <f t="shared" si="14"/>
        <v>10955</v>
      </c>
      <c r="H171" s="1">
        <f t="shared" si="14"/>
        <v>15185.9</v>
      </c>
      <c r="I171" s="1">
        <f t="shared" si="14"/>
        <v>0</v>
      </c>
      <c r="J171" s="1">
        <f t="shared" si="14"/>
        <v>0</v>
      </c>
      <c r="K171" s="1">
        <f t="shared" si="14"/>
        <v>0</v>
      </c>
      <c r="L171" s="1">
        <f t="shared" si="14"/>
        <v>0</v>
      </c>
      <c r="M171" s="1">
        <f t="shared" si="14"/>
        <v>0</v>
      </c>
      <c r="N171" s="1">
        <f t="shared" si="14"/>
        <v>0</v>
      </c>
      <c r="O171" s="1">
        <f t="shared" si="14"/>
        <v>0</v>
      </c>
      <c r="P171" s="1">
        <f t="shared" si="14"/>
        <v>33000</v>
      </c>
      <c r="Q171" s="1">
        <f t="shared" si="14"/>
        <v>0</v>
      </c>
      <c r="R171" s="1">
        <f t="shared" si="14"/>
        <v>0</v>
      </c>
      <c r="S171" s="1">
        <f t="shared" si="14"/>
        <v>0</v>
      </c>
      <c r="T171" s="1">
        <f t="shared" si="14"/>
        <v>1149.05</v>
      </c>
      <c r="U171" s="1">
        <f t="shared" si="14"/>
        <v>0</v>
      </c>
      <c r="V171" s="1">
        <f t="shared" si="14"/>
        <v>0</v>
      </c>
      <c r="W171" s="1">
        <f t="shared" si="14"/>
        <v>0</v>
      </c>
      <c r="X171" s="1">
        <f t="shared" si="14"/>
        <v>0</v>
      </c>
      <c r="Y171" s="1">
        <f t="shared" si="14"/>
        <v>-274.5</v>
      </c>
    </row>
    <row r="173" spans="1:25" ht="15.6" x14ac:dyDescent="0.3">
      <c r="A173" s="1" t="s">
        <v>313</v>
      </c>
      <c r="B173" t="s">
        <v>1</v>
      </c>
      <c r="C173" s="1">
        <f t="shared" ref="C173:Y173" si="15">(((+(C11))-(+(C81)))-(+(C88)+(C143)+(C158)+(C169)))</f>
        <v>8267864.2000000039</v>
      </c>
      <c r="D173" s="1">
        <f t="shared" si="15"/>
        <v>-2344825.31</v>
      </c>
      <c r="E173" s="1">
        <f t="shared" si="15"/>
        <v>-1810658.46</v>
      </c>
      <c r="F173" s="1">
        <f t="shared" si="15"/>
        <v>-48399.8</v>
      </c>
      <c r="G173" s="1">
        <f t="shared" si="15"/>
        <v>-10955</v>
      </c>
      <c r="H173" s="1">
        <f t="shared" si="15"/>
        <v>-15185.9</v>
      </c>
      <c r="I173" s="1">
        <f t="shared" si="15"/>
        <v>0</v>
      </c>
      <c r="J173" s="1">
        <f t="shared" si="15"/>
        <v>415438.79999999981</v>
      </c>
      <c r="K173" s="1">
        <f t="shared" si="15"/>
        <v>753716.2</v>
      </c>
      <c r="L173" s="1">
        <f t="shared" si="15"/>
        <v>1440537.3</v>
      </c>
      <c r="M173" s="1">
        <f t="shared" si="15"/>
        <v>825364.75</v>
      </c>
      <c r="N173" s="1">
        <f t="shared" si="15"/>
        <v>-952540.65999999992</v>
      </c>
      <c r="O173" s="1">
        <f t="shared" si="15"/>
        <v>3132652.92</v>
      </c>
      <c r="P173" s="1">
        <f t="shared" si="15"/>
        <v>486870.63</v>
      </c>
      <c r="Q173" s="1">
        <f t="shared" si="15"/>
        <v>1525969.3599999999</v>
      </c>
      <c r="R173" s="1">
        <f t="shared" si="15"/>
        <v>104900.90999999968</v>
      </c>
      <c r="S173" s="1">
        <f t="shared" si="15"/>
        <v>-41040</v>
      </c>
      <c r="T173" s="1">
        <f t="shared" si="15"/>
        <v>-8275.1700000000092</v>
      </c>
      <c r="U173" s="1">
        <f t="shared" si="15"/>
        <v>0</v>
      </c>
      <c r="V173" s="1">
        <f t="shared" si="15"/>
        <v>4948302</v>
      </c>
      <c r="W173" s="1">
        <f t="shared" si="15"/>
        <v>-41869.17</v>
      </c>
      <c r="X173" s="1">
        <f t="shared" si="15"/>
        <v>-92413.7</v>
      </c>
      <c r="Y173" s="1">
        <f t="shared" si="15"/>
        <v>274.5</v>
      </c>
    </row>
    <row r="175" spans="1:25" x14ac:dyDescent="0.3">
      <c r="A175" s="2" t="s">
        <v>314</v>
      </c>
      <c r="B175" s="2" t="s">
        <v>1</v>
      </c>
      <c r="C175" s="9" t="s">
        <v>1</v>
      </c>
      <c r="D175" s="9" t="s">
        <v>1</v>
      </c>
      <c r="E175" s="9" t="s">
        <v>1</v>
      </c>
      <c r="F175" s="9" t="s">
        <v>1</v>
      </c>
      <c r="G175" s="9" t="s">
        <v>1</v>
      </c>
      <c r="H175" s="9" t="s">
        <v>1</v>
      </c>
      <c r="I175" s="9" t="s">
        <v>1</v>
      </c>
      <c r="J175" s="9" t="s">
        <v>1</v>
      </c>
      <c r="K175" s="9" t="s">
        <v>1</v>
      </c>
      <c r="L175" s="9" t="s">
        <v>1</v>
      </c>
      <c r="M175" s="9" t="s">
        <v>1</v>
      </c>
      <c r="N175" s="9" t="s">
        <v>1</v>
      </c>
      <c r="O175" s="9" t="s">
        <v>1</v>
      </c>
      <c r="P175" s="9" t="s">
        <v>1</v>
      </c>
      <c r="Q175" s="9" t="s">
        <v>1</v>
      </c>
      <c r="R175" s="9" t="s">
        <v>1</v>
      </c>
      <c r="S175" s="9" t="s">
        <v>1</v>
      </c>
      <c r="T175" s="9" t="s">
        <v>1</v>
      </c>
      <c r="U175" s="9" t="s">
        <v>1</v>
      </c>
      <c r="V175" s="9" t="s">
        <v>1</v>
      </c>
      <c r="W175" s="9" t="s">
        <v>1</v>
      </c>
      <c r="X175" s="9" t="s">
        <v>1</v>
      </c>
      <c r="Y175" s="9" t="s">
        <v>1</v>
      </c>
    </row>
    <row r="176" spans="1:25" ht="15.6" x14ac:dyDescent="0.3">
      <c r="A176" s="5" t="s">
        <v>315</v>
      </c>
      <c r="B176" t="s">
        <v>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8" spans="1:25" x14ac:dyDescent="0.3">
      <c r="A178" s="2" t="s">
        <v>316</v>
      </c>
      <c r="B178" s="2" t="s">
        <v>1</v>
      </c>
      <c r="C178" s="9" t="s">
        <v>1</v>
      </c>
      <c r="D178" s="9" t="s">
        <v>1</v>
      </c>
      <c r="E178" s="9" t="s">
        <v>1</v>
      </c>
      <c r="F178" s="9" t="s">
        <v>1</v>
      </c>
      <c r="G178" s="9" t="s">
        <v>1</v>
      </c>
      <c r="H178" s="9" t="s">
        <v>1</v>
      </c>
      <c r="I178" s="9" t="s">
        <v>1</v>
      </c>
      <c r="J178" s="9" t="s">
        <v>1</v>
      </c>
      <c r="K178" s="9" t="s">
        <v>1</v>
      </c>
      <c r="L178" s="9" t="s">
        <v>1</v>
      </c>
      <c r="M178" s="9" t="s">
        <v>1</v>
      </c>
      <c r="N178" s="9" t="s">
        <v>1</v>
      </c>
      <c r="O178" s="9" t="s">
        <v>1</v>
      </c>
      <c r="P178" s="9" t="s">
        <v>1</v>
      </c>
      <c r="Q178" s="9" t="s">
        <v>1</v>
      </c>
      <c r="R178" s="9" t="s">
        <v>1</v>
      </c>
      <c r="S178" s="9" t="s">
        <v>1</v>
      </c>
      <c r="T178" s="9" t="s">
        <v>1</v>
      </c>
      <c r="U178" s="9" t="s">
        <v>1</v>
      </c>
      <c r="V178" s="9" t="s">
        <v>1</v>
      </c>
      <c r="W178" s="9" t="s">
        <v>1</v>
      </c>
      <c r="X178" s="9" t="s">
        <v>1</v>
      </c>
      <c r="Y178" s="9" t="s">
        <v>1</v>
      </c>
    </row>
    <row r="179" spans="1:25" ht="15.6" x14ac:dyDescent="0.3">
      <c r="A179" s="5" t="s">
        <v>317</v>
      </c>
      <c r="B179" t="s">
        <v>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</row>
    <row r="181" spans="1:25" ht="15.6" x14ac:dyDescent="0.3">
      <c r="A181" s="1" t="s">
        <v>318</v>
      </c>
      <c r="B181" t="s">
        <v>1</v>
      </c>
      <c r="C181" s="1">
        <f t="shared" ref="C181:Y181" si="16">((((+(C11))-(+(C81)))-(+(C88)+(C143)+(C158)+(C169)))+C176-C179)</f>
        <v>8267864.2000000039</v>
      </c>
      <c r="D181" s="1">
        <f t="shared" si="16"/>
        <v>-2344825.31</v>
      </c>
      <c r="E181" s="1">
        <f t="shared" si="16"/>
        <v>-1810658.46</v>
      </c>
      <c r="F181" s="1">
        <f t="shared" si="16"/>
        <v>-48399.8</v>
      </c>
      <c r="G181" s="1">
        <f t="shared" si="16"/>
        <v>-10955</v>
      </c>
      <c r="H181" s="1">
        <f t="shared" si="16"/>
        <v>-15185.9</v>
      </c>
      <c r="I181" s="1">
        <f t="shared" si="16"/>
        <v>0</v>
      </c>
      <c r="J181" s="1">
        <f t="shared" si="16"/>
        <v>415438.79999999981</v>
      </c>
      <c r="K181" s="1">
        <f t="shared" si="16"/>
        <v>753716.2</v>
      </c>
      <c r="L181" s="1">
        <f t="shared" si="16"/>
        <v>1440537.3</v>
      </c>
      <c r="M181" s="1">
        <f t="shared" si="16"/>
        <v>825364.75</v>
      </c>
      <c r="N181" s="1">
        <f t="shared" si="16"/>
        <v>-952540.65999999992</v>
      </c>
      <c r="O181" s="1">
        <f t="shared" si="16"/>
        <v>3132652.92</v>
      </c>
      <c r="P181" s="1">
        <f t="shared" si="16"/>
        <v>486870.63</v>
      </c>
      <c r="Q181" s="1">
        <f t="shared" si="16"/>
        <v>1525969.3599999999</v>
      </c>
      <c r="R181" s="1">
        <f t="shared" si="16"/>
        <v>104900.90999999968</v>
      </c>
      <c r="S181" s="1">
        <f t="shared" si="16"/>
        <v>-41040</v>
      </c>
      <c r="T181" s="1">
        <f t="shared" si="16"/>
        <v>-8275.1700000000092</v>
      </c>
      <c r="U181" s="1">
        <f t="shared" si="16"/>
        <v>0</v>
      </c>
      <c r="V181" s="1">
        <f t="shared" si="16"/>
        <v>4948302</v>
      </c>
      <c r="W181" s="1">
        <f t="shared" si="16"/>
        <v>-41869.17</v>
      </c>
      <c r="X181" s="1">
        <f t="shared" si="16"/>
        <v>-92413.7</v>
      </c>
      <c r="Y181" s="1">
        <f t="shared" si="16"/>
        <v>274.5</v>
      </c>
    </row>
    <row r="182" spans="1:25" x14ac:dyDescent="0.3">
      <c r="A182" s="8" t="s">
        <v>1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</sheetData>
  <mergeCells count="10">
    <mergeCell ref="C15:Y15"/>
    <mergeCell ref="C87:Y87"/>
    <mergeCell ref="C175:Y175"/>
    <mergeCell ref="C178:Y178"/>
    <mergeCell ref="A182:Y182"/>
    <mergeCell ref="A1:Y1"/>
    <mergeCell ref="A2:B2"/>
    <mergeCell ref="D2:Y2"/>
    <mergeCell ref="A3:B3"/>
    <mergeCell ref="C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profit_and_loss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Power BI</cp:lastModifiedBy>
  <dcterms:created xsi:type="dcterms:W3CDTF">2025-11-06T08:48:32Z</dcterms:created>
  <dcterms:modified xsi:type="dcterms:W3CDTF">2025-11-06T13:55:20Z</dcterms:modified>
</cp:coreProperties>
</file>